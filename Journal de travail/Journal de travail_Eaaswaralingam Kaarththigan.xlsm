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minimized="1" xWindow="0" yWindow="0" windowWidth="21570" windowHeight="8085"/>
  </bookViews>
  <sheets>
    <sheet name="Journal" sheetId="1" r:id="rId1"/>
    <sheet name="Totaux" sheetId="4" r:id="rId2"/>
    <sheet name="Paramètres" sheetId="2" r:id="rId3"/>
  </sheets>
  <definedNames>
    <definedName name="base">Journal!$A$6</definedName>
  </definedNames>
  <calcPr calcId="162913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5" i="1" l="1"/>
  <c r="B7" i="1"/>
  <c r="B8" i="1"/>
  <c r="B9" i="1"/>
  <c r="B10" i="1"/>
  <c r="B11" i="1"/>
  <c r="B12" i="1"/>
  <c r="B13" i="1" l="1"/>
  <c r="B14" i="1"/>
  <c r="B15" i="1"/>
  <c r="B16" i="1"/>
  <c r="B17" i="1"/>
  <c r="B18" i="1" l="1"/>
  <c r="B19" i="1"/>
  <c r="B20" i="1"/>
  <c r="B21" i="1"/>
  <c r="B22" i="1"/>
  <c r="B23" i="1"/>
  <c r="B24" i="1"/>
  <c r="B25" i="1" l="1"/>
  <c r="B26" i="1"/>
  <c r="B27" i="1"/>
  <c r="B28" i="1"/>
  <c r="B29" i="1"/>
  <c r="B30" i="1"/>
  <c r="B31" i="1"/>
  <c r="B32" i="1" l="1"/>
  <c r="B33" i="1"/>
  <c r="B34" i="1"/>
  <c r="B35" i="1"/>
  <c r="B36" i="1"/>
  <c r="B37" i="1"/>
  <c r="B38" i="1"/>
  <c r="B39" i="1"/>
  <c r="B40" i="1"/>
  <c r="B41" i="1" l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</calcChain>
</file>

<file path=xl/sharedStrings.xml><?xml version="1.0" encoding="utf-8"?>
<sst xmlns="http://schemas.openxmlformats.org/spreadsheetml/2006/main" count="169" uniqueCount="107">
  <si>
    <t>Jour</t>
  </si>
  <si>
    <t>Semaine</t>
  </si>
  <si>
    <t>Temps [h]</t>
  </si>
  <si>
    <t>Type</t>
  </si>
  <si>
    <t>Description</t>
  </si>
  <si>
    <t>Remarques/problèmes/déductions</t>
  </si>
  <si>
    <t>Analyse</t>
  </si>
  <si>
    <t>Somme de Temps [h]</t>
  </si>
  <si>
    <t>Total général</t>
  </si>
  <si>
    <t>Types de tâches</t>
  </si>
  <si>
    <t>Implémentation</t>
  </si>
  <si>
    <t>Tests</t>
  </si>
  <si>
    <t>Documentation</t>
  </si>
  <si>
    <t>Absence</t>
  </si>
  <si>
    <t>Établissement du journal de travail, création du iceScrum ainsi que du répertoire git</t>
  </si>
  <si>
    <t>Documentation : Introduction, sprint planning</t>
  </si>
  <si>
    <t>IceScrum : Création des tâches</t>
  </si>
  <si>
    <t>Maquettes de l'app</t>
  </si>
  <si>
    <t>Création de la base de données</t>
  </si>
  <si>
    <t>Rencontre de l'expert M. Alain Roy (Expert NO 1)</t>
  </si>
  <si>
    <t>Explication du déroulement du TPI</t>
  </si>
  <si>
    <t>Création d'un fichier excel afin de faire le journal de travail</t>
  </si>
  <si>
    <t>L'introduction de la documentation et le sprint planning on été complétés</t>
  </si>
  <si>
    <t>Création des différentes stories ainsi que les sprints</t>
  </si>
  <si>
    <t>Création de la maquette pour les conversations publics et les conversations privées</t>
  </si>
  <si>
    <t>Création des features</t>
  </si>
  <si>
    <t>Création du projet sur visual studio, interface du chat</t>
  </si>
  <si>
    <t>Après la création du projet, travail sur l'affichage du chat en public et privée</t>
  </si>
  <si>
    <t>Création de la base de données ainsi que des différentes tables</t>
  </si>
  <si>
    <t>TPI : Chat en C#</t>
  </si>
  <si>
    <t>Réalisé par: Eaaswaralingam Kaarththigan</t>
  </si>
  <si>
    <t>Classe: SI-C4b</t>
  </si>
  <si>
    <t>Création de l'interface du chat</t>
  </si>
  <si>
    <t>Revue avec le chef de projet</t>
  </si>
  <si>
    <t>Finalisation des tâches iceScrum</t>
  </si>
  <si>
    <t>Interface du chat</t>
  </si>
  <si>
    <t>Recherche programmation d'un chat</t>
  </si>
  <si>
    <t>Recherche sur internet différentes manières de coder un chat</t>
  </si>
  <si>
    <t>Changement de l'interface pour qu'il soit plus érgonomique</t>
  </si>
  <si>
    <t>Création des diagramme de flux</t>
  </si>
  <si>
    <t>Création des diagramme pour le lancement du programme, du suppression du message de quelqu'un d'autre ainsi que de la suppression de son propre message</t>
  </si>
  <si>
    <t>iceScrum : stories sprint 2</t>
  </si>
  <si>
    <t>Lancement du sprint 2 puis assignation des tâches pour celui-ci.</t>
  </si>
  <si>
    <t>Aide de Christnovie dans la programmation</t>
  </si>
  <si>
    <t>Aide de Christnovie pour les chamgement de page en dynamique (changer de page sans fermer la fenêtre actuelle)</t>
  </si>
  <si>
    <t>Recherche programmation "envoie de son message"</t>
  </si>
  <si>
    <t>Recherche sur internet différentes manières de créer la fonction pour envoyer un message</t>
  </si>
  <si>
    <t>Diagramme de flux</t>
  </si>
  <si>
    <t>Insertion des diagrammes de flux dans la documentation + création des nouvelles</t>
  </si>
  <si>
    <t>Établissement des stratégies de tests</t>
  </si>
  <si>
    <t>Établissement de celles-ci dans un bloc note</t>
  </si>
  <si>
    <t>Établissement de l'ordre des tâches</t>
  </si>
  <si>
    <t>Changement de page dynamique</t>
  </si>
  <si>
    <t>Insertion de la fonction permettant d'avoir des changements de page dynamiques</t>
  </si>
  <si>
    <t>Insertion de la maquette du chat privée dans la documentation + ajout des légendes</t>
  </si>
  <si>
    <t>Création d'un diagramme de flux pour les fonctions admin</t>
  </si>
  <si>
    <t>Établissement d'une liste des employées</t>
  </si>
  <si>
    <t>Génération de prénom et nom aléatoire + insertion dans un bloc note de 15 employées</t>
  </si>
  <si>
    <t>Insertion des employés dans la base de données</t>
  </si>
  <si>
    <t>Insertion des employés créés dans la base de données (dans la table "tblemployes")</t>
  </si>
  <si>
    <t>Création du login</t>
  </si>
  <si>
    <t>Création de l'interface du login + création de compte pour chaque employés</t>
  </si>
  <si>
    <t>Documentation sur les employées</t>
  </si>
  <si>
    <t>Des infos à propos des employées, de leur compte ainsi que des infos sur les types de comptes dans la documentation</t>
  </si>
  <si>
    <t>Recherche infos sur les stratégie de test</t>
  </si>
  <si>
    <t>Recherche sur internet comment établir des stratégies de tests</t>
  </si>
  <si>
    <t>Établissement de quelques stratégies de tests</t>
  </si>
  <si>
    <t>Implémentation de changements de pages dynamique</t>
  </si>
  <si>
    <t>Implémentation sur toutes les pages présentes pour le changement de pages dynamiques</t>
  </si>
  <si>
    <t>Établissement de quelques stratégies de test sur bloc-note</t>
  </si>
  <si>
    <t>Redirection des bouton (les boutons du menus) sur les pages respectifs</t>
  </si>
  <si>
    <t>Rediriger les bouton de façon dynamiques sur les pages respectives</t>
  </si>
  <si>
    <t>Recherche manière d'afficher les messages</t>
  </si>
  <si>
    <t>Recherche sur internet les différentes manières de pouvoir afficher des données SQL. Dans notre cas, c'est pour afficher les messages que les employés envoient</t>
  </si>
  <si>
    <t>Sprint review : Sprint 1</t>
  </si>
  <si>
    <t>Sprint Review</t>
  </si>
  <si>
    <t>Validation du sprint 1 avec le chef du projet</t>
  </si>
  <si>
    <t>Création de la page des paramètres</t>
  </si>
  <si>
    <t>Création du script pour insérer des messages dans la base de données</t>
  </si>
  <si>
    <t>Création de l'interface du page des paramètres</t>
  </si>
  <si>
    <t>Création du script qui sera relié au bouton "Envoyer" pour envoyer les messages (n'est pas encore relié)</t>
  </si>
  <si>
    <t>Recherche de moyen d'afficher des données dans une item "ListView"</t>
  </si>
  <si>
    <t>Recherche sur internet de moyen d'afficher des données SQL sur une item "ListView"</t>
  </si>
  <si>
    <t>Total heure :</t>
  </si>
  <si>
    <t>SQL</t>
  </si>
  <si>
    <t>Recherches</t>
  </si>
  <si>
    <t>Réarrangement sur planification initiale</t>
  </si>
  <si>
    <t>Planification initiale faite sur un design smart art sur Word (la planification est la même, seul la mise en forme de celle-ci dans la documentation a changée).</t>
  </si>
  <si>
    <t>Définition des sprints goal dans la documentation (n'était faite que sur IceScrum)</t>
  </si>
  <si>
    <t>Les sprints goals ont également été faites grâce aux smart art.</t>
  </si>
  <si>
    <t>Uses cases scénario</t>
  </si>
  <si>
    <t>Écriture des uses cases scénarios pour l'envoi d'un message et la suppression d'un message</t>
  </si>
  <si>
    <t>Review</t>
  </si>
  <si>
    <t>Stratégies de test</t>
  </si>
  <si>
    <t>Affichage des message</t>
  </si>
  <si>
    <t>Tests d'affichage des messages</t>
  </si>
  <si>
    <t>Écriture des stratégies de tests dans la documentation</t>
  </si>
  <si>
    <t>Création du fichier excel du planning actuel</t>
  </si>
  <si>
    <t>Création d'un fichier excel afin de pouvoir compléter le planning actuel. Ce planning se retrouvera dans la documentation tout à la fin.</t>
  </si>
  <si>
    <t>Création de la page de gestion des collaborateurs</t>
  </si>
  <si>
    <t>Test différentes méthodes pour afficher le chat</t>
  </si>
  <si>
    <t>Recherche de différentes méthodes sur internet pour afficher des données SQL et test de celles-ci sur une application c# pour pouvoir voir laquelle est la meilleure.</t>
  </si>
  <si>
    <t>Maquettes des fonction utilisateurs standard et modérateur créés</t>
  </si>
  <si>
    <t>Maquette des fonctions utilisateurs mises dans la documentation</t>
  </si>
  <si>
    <t>Documentation complétée avec la maquette des fonctions utilisateurs standards.</t>
  </si>
  <si>
    <t>Code pour afficher des données SQL</t>
  </si>
  <si>
    <t>Test d'un code pour afficher des données SQL sur une application C#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</si>
</sst>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20"/>
      <name val="Tahoma"/>
      <family val="2"/>
    </font>
    <font>
      <sz val="11"/>
      <name val="Tahoma"/>
      <family val="2"/>
    </font>
    <font>
      <sz val="12"/>
      <color rgb="FF000000"/>
      <name val="Helvetica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4" fillId="0" borderId="0" xfId="0" applyFont="1"/>
    <xf numFmtId="0" fontId="4" fillId="0" borderId="0" xfId="0" applyFont="1" applyAlignment="1">
      <alignment horizontal="left"/>
    </xf>
    <xf numFmtId="0" fontId="0" fillId="0" borderId="2" xfId="0" applyBorder="1" applyProtection="1">
      <protection locked="0"/>
    </xf>
    <xf numFmtId="2" fontId="0" fillId="0" borderId="3" xfId="0" applyNumberFormat="1" applyBorder="1" applyProtection="1">
      <protection locked="0"/>
    </xf>
    <xf numFmtId="2" fontId="0" fillId="0" borderId="0" xfId="0" applyNumberFormat="1" applyProtection="1">
      <protection locked="0"/>
    </xf>
    <xf numFmtId="16" fontId="0" fillId="3" borderId="1" xfId="0" applyNumberFormat="1" applyFill="1" applyBorder="1" applyAlignment="1" applyProtection="1">
      <alignment horizontal="center" vertical="center"/>
      <protection locked="0"/>
    </xf>
    <xf numFmtId="1" fontId="0" fillId="3" borderId="1" xfId="0" applyNumberFormat="1" applyFill="1" applyBorder="1" applyAlignment="1">
      <alignment horizontal="center" vertical="center"/>
    </xf>
    <xf numFmtId="2" fontId="0" fillId="3" borderId="1" xfId="0" applyNumberFormat="1" applyFill="1" applyBorder="1" applyAlignment="1" applyProtection="1">
      <alignment horizontal="center" vertical="center"/>
      <protection locked="0"/>
    </xf>
    <xf numFmtId="0" fontId="0" fillId="3" borderId="1" xfId="0" applyFill="1" applyBorder="1" applyAlignment="1" applyProtection="1">
      <alignment horizontal="center" vertical="center"/>
      <protection locked="0"/>
    </xf>
    <xf numFmtId="0" fontId="0" fillId="3" borderId="1" xfId="0" applyFill="1" applyBorder="1" applyAlignment="1" applyProtection="1">
      <alignment horizontal="left" vertical="center" wrapText="1"/>
      <protection locked="0"/>
    </xf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3238500</xdr:colOff>
          <xdr:row>3</xdr:row>
          <xdr:rowOff>57150</xdr:rowOff>
        </xdr:from>
        <xdr:to>
          <xdr:col>5</xdr:col>
          <xdr:colOff>4943475</xdr:colOff>
          <xdr:row>4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 une entrée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10</xdr:row>
          <xdr:rowOff>28575</xdr:rowOff>
        </xdr:from>
        <xdr:to>
          <xdr:col>0</xdr:col>
          <xdr:colOff>990600</xdr:colOff>
          <xdr:row>11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87.592159490741" createdVersion="4" refreshedVersion="4" minRefreshableVersion="3" recordCount="1">
  <cacheSource type="worksheet">
    <worksheetSource ref="A6:D56" sheet="Journal"/>
  </cacheSource>
  <cacheFields count="4">
    <cacheField name="Jour" numFmtId="16">
      <sharedItems containsSemiMixedTypes="0" containsNonDate="0" containsDate="1" containsString="0" minDate="2018-01-01T00:00:00" maxDate="2018-04-05T00:00:00" count="4">
        <d v="2018-01-01T00:00:00"/>
        <d v="2018-02-02T00:00:00" u="1"/>
        <d v="2018-03-03T00:00:00" u="1"/>
        <d v="2018-04-04T00:00:00" u="1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1" maxValue="1"/>
    </cacheField>
    <cacheField name="Type" numFmtId="0">
      <sharedItems count="4">
        <s v="Analyse"/>
        <s v="Documentation" u="1"/>
        <s v="Tests" u="1"/>
        <s v="Implémentation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n v="1"/>
    <n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5">
        <item x="0"/>
        <item m="1" x="1"/>
        <item m="1" x="2"/>
        <item m="1" x="3"/>
        <item t="default"/>
      </items>
    </pivotField>
    <pivotField showAll="0"/>
    <pivotField dataField="1" showAll="0"/>
    <pivotField axis="axisCol" showAll="0">
      <items count="5">
        <item m="1" x="1"/>
        <item m="1" x="3"/>
        <item x="0"/>
        <item m="1" x="2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57"/>
  <sheetViews>
    <sheetView tabSelected="1" zoomScale="90" zoomScaleNormal="90" workbookViewId="0">
      <selection activeCell="C10" sqref="C10"/>
    </sheetView>
  </sheetViews>
  <sheetFormatPr baseColWidth="10" defaultColWidth="9.140625" defaultRowHeight="15" x14ac:dyDescent="0.25"/>
  <cols>
    <col min="1" max="1" width="9.5703125" style="7" customWidth="1"/>
    <col min="2" max="2" width="11.85546875" style="19" customWidth="1"/>
    <col min="3" max="3" width="11.5703125" style="15" customWidth="1"/>
    <col min="4" max="4" width="17.5703125" style="7" customWidth="1"/>
    <col min="5" max="5" width="84.85546875" style="16" bestFit="1" customWidth="1"/>
    <col min="6" max="6" width="75.140625" style="16" customWidth="1"/>
    <col min="7" max="7" width="12.140625" style="10" customWidth="1"/>
    <col min="8" max="8" width="11.85546875" style="10" customWidth="1"/>
    <col min="9" max="16384" width="9.140625" style="10"/>
  </cols>
  <sheetData>
    <row r="1" spans="1:9" s="21" customFormat="1" ht="14.1" customHeight="1" x14ac:dyDescent="0.2">
      <c r="A1" s="31" t="s">
        <v>29</v>
      </c>
      <c r="B1" s="31"/>
      <c r="C1" s="31"/>
      <c r="D1" s="31"/>
      <c r="E1" s="31"/>
      <c r="F1" s="31"/>
    </row>
    <row r="2" spans="1:9" s="21" customFormat="1" ht="14.25" x14ac:dyDescent="0.2">
      <c r="A2" s="31"/>
      <c r="B2" s="31"/>
      <c r="C2" s="31"/>
      <c r="D2" s="31"/>
      <c r="E2" s="31"/>
      <c r="F2" s="31"/>
    </row>
    <row r="3" spans="1:9" s="21" customFormat="1" ht="24.95" customHeight="1" x14ac:dyDescent="0.2">
      <c r="E3" s="21" t="s">
        <v>30</v>
      </c>
      <c r="F3" s="22" t="s">
        <v>31</v>
      </c>
    </row>
    <row r="4" spans="1:9" ht="15.75" thickBot="1" x14ac:dyDescent="0.3"/>
    <row r="5" spans="1:9" ht="15.75" thickBot="1" x14ac:dyDescent="0.3">
      <c r="B5" s="23" t="s">
        <v>83</v>
      </c>
      <c r="C5" s="24">
        <f>SUM(C7:C468)</f>
        <v>51</v>
      </c>
    </row>
    <row r="6" spans="1:9" ht="24" customHeight="1" x14ac:dyDescent="0.25">
      <c r="A6" s="5" t="s">
        <v>0</v>
      </c>
      <c r="B6" s="17" t="s">
        <v>1</v>
      </c>
      <c r="C6" s="8" t="s">
        <v>2</v>
      </c>
      <c r="D6" s="5" t="s">
        <v>3</v>
      </c>
      <c r="E6" s="9" t="s">
        <v>4</v>
      </c>
      <c r="F6" s="9" t="s">
        <v>5</v>
      </c>
    </row>
    <row r="7" spans="1:9" x14ac:dyDescent="0.25">
      <c r="A7" s="6">
        <v>44697</v>
      </c>
      <c r="B7" s="18">
        <f t="shared" ref="B7" si="0">WEEKNUM(A7)</f>
        <v>21</v>
      </c>
      <c r="C7" s="11">
        <v>0.5</v>
      </c>
      <c r="D7" s="12" t="s">
        <v>10</v>
      </c>
      <c r="E7" s="13" t="s">
        <v>105</v>
      </c>
      <c r="F7" s="13" t="s">
        <v>106</v>
      </c>
      <c r="I7" s="14"/>
    </row>
    <row r="8" spans="1:9" x14ac:dyDescent="0.25">
      <c r="A8" s="6">
        <v>44697</v>
      </c>
      <c r="B8" s="18">
        <f t="shared" ref="B8" si="1">WEEKNUM(A8)</f>
        <v>21</v>
      </c>
      <c r="C8" s="11">
        <v>0.5</v>
      </c>
      <c r="D8" s="12" t="s">
        <v>12</v>
      </c>
      <c r="E8" s="13" t="s">
        <v>103</v>
      </c>
      <c r="F8" s="13" t="s">
        <v>104</v>
      </c>
      <c r="I8" s="14"/>
    </row>
    <row r="9" spans="1:9" x14ac:dyDescent="0.25">
      <c r="A9" s="6">
        <v>44697</v>
      </c>
      <c r="B9" s="18">
        <f t="shared" ref="B9" si="2">WEEKNUM(A9)</f>
        <v>21</v>
      </c>
      <c r="C9" s="11">
        <v>1</v>
      </c>
      <c r="D9" s="12" t="s">
        <v>12</v>
      </c>
      <c r="E9" s="13" t="s">
        <v>102</v>
      </c>
      <c r="F9" s="13" t="s">
        <v>102</v>
      </c>
      <c r="I9" s="14"/>
    </row>
    <row r="10" spans="1:9" ht="30" x14ac:dyDescent="0.25">
      <c r="A10" s="6">
        <v>44697</v>
      </c>
      <c r="B10" s="18">
        <f t="shared" ref="B10" si="3">WEEKNUM(A10)</f>
        <v>21</v>
      </c>
      <c r="C10" s="11">
        <v>1</v>
      </c>
      <c r="D10" s="12" t="s">
        <v>12</v>
      </c>
      <c r="E10" s="13" t="s">
        <v>100</v>
      </c>
      <c r="F10" s="13" t="s">
        <v>101</v>
      </c>
      <c r="I10" s="14"/>
    </row>
    <row r="11" spans="1:9" ht="30" x14ac:dyDescent="0.25">
      <c r="A11" s="6">
        <v>44697</v>
      </c>
      <c r="B11" s="18">
        <f t="shared" ref="B11" si="4">WEEKNUM(A11)</f>
        <v>21</v>
      </c>
      <c r="C11" s="11">
        <v>2</v>
      </c>
      <c r="D11" s="12" t="s">
        <v>10</v>
      </c>
      <c r="E11" s="13" t="s">
        <v>99</v>
      </c>
      <c r="F11" s="13" t="s">
        <v>98</v>
      </c>
      <c r="I11" s="14"/>
    </row>
    <row r="12" spans="1:9" ht="30" x14ac:dyDescent="0.25">
      <c r="A12" s="6">
        <v>44697</v>
      </c>
      <c r="B12" s="18">
        <f t="shared" ref="B12" si="5">WEEKNUM(A12)</f>
        <v>21</v>
      </c>
      <c r="C12" s="11">
        <v>1</v>
      </c>
      <c r="D12" s="12" t="s">
        <v>12</v>
      </c>
      <c r="E12" s="13" t="s">
        <v>97</v>
      </c>
      <c r="F12" s="13" t="s">
        <v>98</v>
      </c>
      <c r="I12" s="14"/>
    </row>
    <row r="13" spans="1:9" x14ac:dyDescent="0.25">
      <c r="A13" s="6">
        <v>44694</v>
      </c>
      <c r="B13" s="18">
        <f t="shared" ref="B13" si="6">WEEKNUM(A13)</f>
        <v>20</v>
      </c>
      <c r="C13" s="11">
        <v>1</v>
      </c>
      <c r="D13" s="12" t="s">
        <v>10</v>
      </c>
      <c r="E13" s="13" t="s">
        <v>94</v>
      </c>
      <c r="F13" s="13" t="s">
        <v>95</v>
      </c>
      <c r="I13" s="14"/>
    </row>
    <row r="14" spans="1:9" x14ac:dyDescent="0.25">
      <c r="A14" s="6">
        <v>44694</v>
      </c>
      <c r="B14" s="18">
        <f t="shared" ref="B14" si="7">WEEKNUM(A14)</f>
        <v>20</v>
      </c>
      <c r="C14" s="11">
        <v>0.25</v>
      </c>
      <c r="D14" s="12" t="s">
        <v>12</v>
      </c>
      <c r="E14" s="13" t="s">
        <v>93</v>
      </c>
      <c r="F14" s="13" t="s">
        <v>96</v>
      </c>
      <c r="I14" s="14"/>
    </row>
    <row r="15" spans="1:9" ht="30" x14ac:dyDescent="0.25">
      <c r="A15" s="6">
        <v>44694</v>
      </c>
      <c r="B15" s="18">
        <f t="shared" ref="B15" si="8">WEEKNUM(A15)</f>
        <v>20</v>
      </c>
      <c r="C15" s="11">
        <v>1.5</v>
      </c>
      <c r="D15" s="12" t="s">
        <v>12</v>
      </c>
      <c r="E15" s="13" t="s">
        <v>90</v>
      </c>
      <c r="F15" s="13" t="s">
        <v>91</v>
      </c>
      <c r="I15" s="14"/>
    </row>
    <row r="16" spans="1:9" x14ac:dyDescent="0.25">
      <c r="A16" s="6">
        <v>44694</v>
      </c>
      <c r="B16" s="18">
        <f t="shared" ref="B16" si="9">WEEKNUM(A16)</f>
        <v>20</v>
      </c>
      <c r="C16" s="11">
        <v>1</v>
      </c>
      <c r="D16" s="12" t="s">
        <v>12</v>
      </c>
      <c r="E16" s="13" t="s">
        <v>88</v>
      </c>
      <c r="F16" s="13" t="s">
        <v>89</v>
      </c>
      <c r="I16" s="14"/>
    </row>
    <row r="17" spans="1:9" x14ac:dyDescent="0.25">
      <c r="A17" s="6">
        <v>44694</v>
      </c>
      <c r="B17" s="18">
        <f t="shared" ref="B17" si="10">WEEKNUM(A17)</f>
        <v>20</v>
      </c>
      <c r="C17" s="11">
        <v>0.5</v>
      </c>
      <c r="D17" s="12" t="s">
        <v>12</v>
      </c>
      <c r="E17" s="13" t="s">
        <v>88</v>
      </c>
      <c r="F17" s="13" t="s">
        <v>89</v>
      </c>
      <c r="I17" s="14"/>
    </row>
    <row r="18" spans="1:9" ht="30" x14ac:dyDescent="0.25">
      <c r="A18" s="6">
        <v>44694</v>
      </c>
      <c r="B18" s="18">
        <f t="shared" ref="B18" si="11">WEEKNUM(A18)</f>
        <v>20</v>
      </c>
      <c r="C18" s="11">
        <v>1</v>
      </c>
      <c r="D18" s="12" t="s">
        <v>12</v>
      </c>
      <c r="E18" s="13" t="s">
        <v>86</v>
      </c>
      <c r="F18" s="13" t="s">
        <v>87</v>
      </c>
      <c r="I18" s="14"/>
    </row>
    <row r="19" spans="1:9" ht="30" x14ac:dyDescent="0.25">
      <c r="A19" s="6">
        <v>44693</v>
      </c>
      <c r="B19" s="18">
        <f t="shared" ref="B19" si="12">WEEKNUM(A19)</f>
        <v>20</v>
      </c>
      <c r="C19" s="11">
        <v>1</v>
      </c>
      <c r="D19" s="12" t="s">
        <v>85</v>
      </c>
      <c r="E19" s="13" t="s">
        <v>81</v>
      </c>
      <c r="F19" s="13" t="s">
        <v>82</v>
      </c>
      <c r="I19" s="14"/>
    </row>
    <row r="20" spans="1:9" ht="30" x14ac:dyDescent="0.25">
      <c r="A20" s="6">
        <v>44693</v>
      </c>
      <c r="B20" s="18">
        <f t="shared" ref="B20" si="13">WEEKNUM(A20)</f>
        <v>20</v>
      </c>
      <c r="C20" s="11">
        <v>1</v>
      </c>
      <c r="D20" s="12" t="s">
        <v>84</v>
      </c>
      <c r="E20" s="13" t="s">
        <v>78</v>
      </c>
      <c r="F20" s="13" t="s">
        <v>80</v>
      </c>
      <c r="I20" s="14"/>
    </row>
    <row r="21" spans="1:9" x14ac:dyDescent="0.25">
      <c r="A21" s="6">
        <v>44693</v>
      </c>
      <c r="B21" s="18">
        <f t="shared" ref="B21" si="14">WEEKNUM(A21)</f>
        <v>20</v>
      </c>
      <c r="C21" s="11">
        <v>0.25</v>
      </c>
      <c r="D21" s="12" t="s">
        <v>10</v>
      </c>
      <c r="E21" s="13" t="s">
        <v>77</v>
      </c>
      <c r="F21" s="13" t="s">
        <v>79</v>
      </c>
      <c r="I21" s="14"/>
    </row>
    <row r="22" spans="1:9" x14ac:dyDescent="0.25">
      <c r="A22" s="26">
        <v>44693</v>
      </c>
      <c r="B22" s="27">
        <f t="shared" ref="B22" si="15">WEEKNUM(A22)</f>
        <v>20</v>
      </c>
      <c r="C22" s="28">
        <v>0.75</v>
      </c>
      <c r="D22" s="29" t="s">
        <v>75</v>
      </c>
      <c r="E22" s="30" t="s">
        <v>74</v>
      </c>
      <c r="F22" s="30" t="s">
        <v>76</v>
      </c>
      <c r="I22" s="14"/>
    </row>
    <row r="23" spans="1:9" ht="30" x14ac:dyDescent="0.25">
      <c r="A23" s="6">
        <v>44693</v>
      </c>
      <c r="B23" s="18">
        <f t="shared" ref="B23" si="16">WEEKNUM(A23)</f>
        <v>20</v>
      </c>
      <c r="C23" s="11">
        <v>1</v>
      </c>
      <c r="D23" s="12" t="s">
        <v>85</v>
      </c>
      <c r="E23" s="13" t="s">
        <v>72</v>
      </c>
      <c r="F23" s="13" t="s">
        <v>73</v>
      </c>
      <c r="I23" s="14"/>
    </row>
    <row r="24" spans="1:9" x14ac:dyDescent="0.25">
      <c r="A24" s="6">
        <v>44693</v>
      </c>
      <c r="B24" s="18">
        <f t="shared" ref="B24" si="17">WEEKNUM(A24)</f>
        <v>20</v>
      </c>
      <c r="C24" s="11">
        <v>0.5</v>
      </c>
      <c r="D24" s="12" t="s">
        <v>10</v>
      </c>
      <c r="E24" s="13" t="s">
        <v>70</v>
      </c>
      <c r="F24" s="13" t="s">
        <v>71</v>
      </c>
      <c r="I24" s="14"/>
    </row>
    <row r="25" spans="1:9" ht="30" x14ac:dyDescent="0.25">
      <c r="A25" s="6">
        <v>44691</v>
      </c>
      <c r="B25" s="18">
        <f t="shared" ref="B25" si="18">WEEKNUM(A25)</f>
        <v>20</v>
      </c>
      <c r="C25" s="11">
        <v>1.25</v>
      </c>
      <c r="D25" s="12" t="s">
        <v>10</v>
      </c>
      <c r="E25" s="13" t="s">
        <v>67</v>
      </c>
      <c r="F25" s="13" t="s">
        <v>68</v>
      </c>
      <c r="I25" s="14"/>
    </row>
    <row r="26" spans="1:9" x14ac:dyDescent="0.25">
      <c r="A26" s="6">
        <v>44691</v>
      </c>
      <c r="B26" s="18">
        <f t="shared" ref="B26" si="19">WEEKNUM(A26)</f>
        <v>20</v>
      </c>
      <c r="C26" s="11">
        <v>1</v>
      </c>
      <c r="D26" s="12" t="s">
        <v>12</v>
      </c>
      <c r="E26" s="13" t="s">
        <v>66</v>
      </c>
      <c r="F26" s="13" t="s">
        <v>69</v>
      </c>
      <c r="I26" s="14"/>
    </row>
    <row r="27" spans="1:9" x14ac:dyDescent="0.25">
      <c r="A27" s="6">
        <v>44691</v>
      </c>
      <c r="B27" s="18">
        <f t="shared" ref="B27" si="20">WEEKNUM(A27)</f>
        <v>20</v>
      </c>
      <c r="C27" s="11">
        <v>1</v>
      </c>
      <c r="D27" s="12" t="s">
        <v>85</v>
      </c>
      <c r="E27" s="13" t="s">
        <v>64</v>
      </c>
      <c r="F27" s="13" t="s">
        <v>65</v>
      </c>
      <c r="I27" s="14"/>
    </row>
    <row r="28" spans="1:9" ht="30" x14ac:dyDescent="0.25">
      <c r="A28" s="6">
        <v>44691</v>
      </c>
      <c r="B28" s="18">
        <f t="shared" ref="B28" si="21">WEEKNUM(A28)</f>
        <v>20</v>
      </c>
      <c r="C28" s="11">
        <v>1</v>
      </c>
      <c r="D28" s="12" t="s">
        <v>12</v>
      </c>
      <c r="E28" s="13" t="s">
        <v>62</v>
      </c>
      <c r="F28" s="13" t="s">
        <v>63</v>
      </c>
      <c r="I28" s="14"/>
    </row>
    <row r="29" spans="1:9" x14ac:dyDescent="0.25">
      <c r="A29" s="6">
        <v>44691</v>
      </c>
      <c r="B29" s="18">
        <f t="shared" ref="B29" si="22">WEEKNUM(A29)</f>
        <v>20</v>
      </c>
      <c r="C29" s="11">
        <v>1.5</v>
      </c>
      <c r="D29" s="12" t="s">
        <v>10</v>
      </c>
      <c r="E29" s="13" t="s">
        <v>60</v>
      </c>
      <c r="F29" s="13" t="s">
        <v>61</v>
      </c>
      <c r="I29" s="14"/>
    </row>
    <row r="30" spans="1:9" ht="30" x14ac:dyDescent="0.25">
      <c r="A30" s="6">
        <v>44691</v>
      </c>
      <c r="B30" s="18">
        <f t="shared" ref="B30" si="23">WEEKNUM(A30)</f>
        <v>20</v>
      </c>
      <c r="C30" s="11">
        <v>0.5</v>
      </c>
      <c r="D30" s="12" t="s">
        <v>12</v>
      </c>
      <c r="E30" s="13" t="s">
        <v>58</v>
      </c>
      <c r="F30" s="13" t="s">
        <v>59</v>
      </c>
      <c r="I30" s="14"/>
    </row>
    <row r="31" spans="1:9" ht="30" x14ac:dyDescent="0.25">
      <c r="A31" s="6">
        <v>44691</v>
      </c>
      <c r="B31" s="18">
        <f t="shared" ref="B31" si="24">WEEKNUM(A31)</f>
        <v>20</v>
      </c>
      <c r="C31" s="11">
        <v>0.5</v>
      </c>
      <c r="D31" s="12" t="s">
        <v>12</v>
      </c>
      <c r="E31" s="13" t="s">
        <v>56</v>
      </c>
      <c r="F31" s="13" t="s">
        <v>57</v>
      </c>
      <c r="I31" s="14"/>
    </row>
    <row r="32" spans="1:9" x14ac:dyDescent="0.25">
      <c r="A32" s="6">
        <v>44690</v>
      </c>
      <c r="B32" s="18">
        <f t="shared" ref="B32" si="25">WEEKNUM(A32)</f>
        <v>20</v>
      </c>
      <c r="C32" s="11">
        <v>0.25</v>
      </c>
      <c r="D32" s="12" t="s">
        <v>12</v>
      </c>
      <c r="E32" s="13" t="s">
        <v>47</v>
      </c>
      <c r="F32" s="13" t="s">
        <v>55</v>
      </c>
      <c r="I32" s="14"/>
    </row>
    <row r="33" spans="1:9" ht="30" x14ac:dyDescent="0.25">
      <c r="A33" s="6">
        <v>44690</v>
      </c>
      <c r="B33" s="18">
        <f t="shared" ref="B33" si="26">WEEKNUM(A33)</f>
        <v>20</v>
      </c>
      <c r="C33" s="11">
        <v>0.25</v>
      </c>
      <c r="D33" s="12" t="s">
        <v>12</v>
      </c>
      <c r="E33" s="13" t="s">
        <v>17</v>
      </c>
      <c r="F33" s="13" t="s">
        <v>54</v>
      </c>
      <c r="I33" s="14"/>
    </row>
    <row r="34" spans="1:9" x14ac:dyDescent="0.25">
      <c r="A34" s="6">
        <v>44690</v>
      </c>
      <c r="B34" s="18">
        <f t="shared" ref="B34" si="27">WEEKNUM(A34)</f>
        <v>20</v>
      </c>
      <c r="C34" s="11">
        <v>1.5</v>
      </c>
      <c r="D34" s="12" t="s">
        <v>10</v>
      </c>
      <c r="E34" s="13" t="s">
        <v>52</v>
      </c>
      <c r="F34" s="13" t="s">
        <v>53</v>
      </c>
      <c r="I34" s="14"/>
    </row>
    <row r="35" spans="1:9" x14ac:dyDescent="0.25">
      <c r="A35" s="6">
        <v>44690</v>
      </c>
      <c r="B35" s="18">
        <f t="shared" ref="B35" si="28">WEEKNUM(A35)</f>
        <v>20</v>
      </c>
      <c r="C35" s="11">
        <v>0.5</v>
      </c>
      <c r="D35" s="12" t="s">
        <v>6</v>
      </c>
      <c r="E35" s="13" t="s">
        <v>51</v>
      </c>
      <c r="F35" s="13" t="s">
        <v>50</v>
      </c>
      <c r="I35" s="14"/>
    </row>
    <row r="36" spans="1:9" x14ac:dyDescent="0.25">
      <c r="A36" s="6">
        <v>44690</v>
      </c>
      <c r="B36" s="18">
        <f t="shared" ref="B36" si="29">WEEKNUM(A36)</f>
        <v>20</v>
      </c>
      <c r="C36" s="11">
        <v>0.5</v>
      </c>
      <c r="D36" s="12" t="s">
        <v>6</v>
      </c>
      <c r="E36" s="13" t="s">
        <v>49</v>
      </c>
      <c r="F36" s="13" t="s">
        <v>50</v>
      </c>
      <c r="I36" s="14"/>
    </row>
    <row r="37" spans="1:9" x14ac:dyDescent="0.25">
      <c r="A37" s="6">
        <v>44690</v>
      </c>
      <c r="B37" s="18">
        <f t="shared" ref="B37" si="30">WEEKNUM(A37)</f>
        <v>20</v>
      </c>
      <c r="C37" s="11">
        <v>1</v>
      </c>
      <c r="D37" s="12" t="s">
        <v>12</v>
      </c>
      <c r="E37" s="13" t="s">
        <v>47</v>
      </c>
      <c r="F37" s="13" t="s">
        <v>48</v>
      </c>
      <c r="I37" s="14"/>
    </row>
    <row r="38" spans="1:9" ht="30" x14ac:dyDescent="0.25">
      <c r="A38" s="6">
        <v>44690</v>
      </c>
      <c r="B38" s="18">
        <f t="shared" ref="B38" si="31">WEEKNUM(A38)</f>
        <v>20</v>
      </c>
      <c r="C38" s="11">
        <v>0.5</v>
      </c>
      <c r="D38" s="12" t="s">
        <v>85</v>
      </c>
      <c r="E38" s="13" t="s">
        <v>45</v>
      </c>
      <c r="F38" s="13" t="s">
        <v>46</v>
      </c>
      <c r="I38" s="14"/>
    </row>
    <row r="39" spans="1:9" ht="30" x14ac:dyDescent="0.25">
      <c r="A39" s="6">
        <v>44690</v>
      </c>
      <c r="B39" s="18">
        <f t="shared" ref="B39" si="32">WEEKNUM(A39)</f>
        <v>20</v>
      </c>
      <c r="C39" s="11">
        <v>1</v>
      </c>
      <c r="D39" s="12" t="s">
        <v>6</v>
      </c>
      <c r="E39" s="13" t="s">
        <v>43</v>
      </c>
      <c r="F39" s="13" t="s">
        <v>44</v>
      </c>
      <c r="I39" s="14"/>
    </row>
    <row r="40" spans="1:9" x14ac:dyDescent="0.25">
      <c r="A40" s="6">
        <v>44690</v>
      </c>
      <c r="B40" s="18">
        <f t="shared" ref="B40" si="33">WEEKNUM(A40)</f>
        <v>20</v>
      </c>
      <c r="C40" s="11">
        <v>0.5</v>
      </c>
      <c r="D40" s="12" t="s">
        <v>6</v>
      </c>
      <c r="E40" s="13" t="s">
        <v>41</v>
      </c>
      <c r="F40" s="13" t="s">
        <v>42</v>
      </c>
      <c r="I40" s="14"/>
    </row>
    <row r="41" spans="1:9" ht="30" x14ac:dyDescent="0.25">
      <c r="A41" s="6">
        <v>44687</v>
      </c>
      <c r="B41" s="18">
        <f t="shared" ref="B41" si="34">WEEKNUM(A41)</f>
        <v>19</v>
      </c>
      <c r="C41" s="11">
        <v>1.25</v>
      </c>
      <c r="D41" s="12" t="s">
        <v>6</v>
      </c>
      <c r="E41" s="13" t="s">
        <v>39</v>
      </c>
      <c r="F41" s="13" t="s">
        <v>40</v>
      </c>
      <c r="I41" s="14"/>
    </row>
    <row r="42" spans="1:9" x14ac:dyDescent="0.25">
      <c r="A42" s="6">
        <v>44687</v>
      </c>
      <c r="B42" s="18">
        <f t="shared" ref="B42" si="35">WEEKNUM(A42)</f>
        <v>19</v>
      </c>
      <c r="C42" s="11">
        <v>2</v>
      </c>
      <c r="D42" s="12" t="s">
        <v>85</v>
      </c>
      <c r="E42" s="13" t="s">
        <v>36</v>
      </c>
      <c r="F42" s="13" t="s">
        <v>37</v>
      </c>
      <c r="I42" s="14"/>
    </row>
    <row r="43" spans="1:9" x14ac:dyDescent="0.25">
      <c r="A43" s="6">
        <v>44687</v>
      </c>
      <c r="B43" s="18">
        <f t="shared" ref="B43" si="36">WEEKNUM(A43)</f>
        <v>19</v>
      </c>
      <c r="C43" s="11">
        <v>2</v>
      </c>
      <c r="D43" s="12" t="s">
        <v>10</v>
      </c>
      <c r="E43" s="13" t="s">
        <v>35</v>
      </c>
      <c r="F43" s="13" t="s">
        <v>38</v>
      </c>
      <c r="I43" s="14"/>
    </row>
    <row r="44" spans="1:9" x14ac:dyDescent="0.25">
      <c r="A44" s="6">
        <v>44686</v>
      </c>
      <c r="B44" s="18">
        <f t="shared" ref="B44" si="37">WEEKNUM(A44)</f>
        <v>19</v>
      </c>
      <c r="C44" s="11">
        <v>0.5</v>
      </c>
      <c r="D44" s="12" t="s">
        <v>10</v>
      </c>
      <c r="E44" s="13" t="s">
        <v>35</v>
      </c>
      <c r="F44" s="13"/>
      <c r="I44" s="14"/>
    </row>
    <row r="45" spans="1:9" x14ac:dyDescent="0.25">
      <c r="A45" s="6">
        <v>44686</v>
      </c>
      <c r="B45" s="18">
        <f t="shared" ref="B45" si="38">WEEKNUM(A45)</f>
        <v>19</v>
      </c>
      <c r="C45" s="11">
        <v>2</v>
      </c>
      <c r="D45" s="12" t="s">
        <v>6</v>
      </c>
      <c r="E45" s="13" t="s">
        <v>17</v>
      </c>
      <c r="F45" s="13"/>
      <c r="I45" s="14"/>
    </row>
    <row r="46" spans="1:9" x14ac:dyDescent="0.25">
      <c r="A46" s="6">
        <v>44686</v>
      </c>
      <c r="B46" s="18">
        <f t="shared" ref="B46" si="39">WEEKNUM(A46)</f>
        <v>19</v>
      </c>
      <c r="C46" s="11">
        <v>0.5</v>
      </c>
      <c r="D46" s="12" t="s">
        <v>6</v>
      </c>
      <c r="E46" s="13" t="s">
        <v>34</v>
      </c>
      <c r="F46" s="13"/>
      <c r="I46" s="14"/>
    </row>
    <row r="47" spans="1:9" x14ac:dyDescent="0.25">
      <c r="A47" s="26">
        <v>44686</v>
      </c>
      <c r="B47" s="27">
        <f t="shared" ref="B47" si="40">WEEKNUM(A47)</f>
        <v>19</v>
      </c>
      <c r="C47" s="28">
        <v>1</v>
      </c>
      <c r="D47" s="29" t="s">
        <v>92</v>
      </c>
      <c r="E47" s="30" t="s">
        <v>33</v>
      </c>
      <c r="F47" s="30"/>
      <c r="I47" s="14"/>
    </row>
    <row r="48" spans="1:9" x14ac:dyDescent="0.25">
      <c r="A48" s="6">
        <v>44686</v>
      </c>
      <c r="B48" s="18">
        <f t="shared" ref="B48" si="41">WEEKNUM(A48)</f>
        <v>19</v>
      </c>
      <c r="C48" s="11">
        <v>0.5</v>
      </c>
      <c r="D48" s="12" t="s">
        <v>10</v>
      </c>
      <c r="E48" s="13" t="s">
        <v>32</v>
      </c>
      <c r="F48" s="13"/>
      <c r="I48" s="14"/>
    </row>
    <row r="49" spans="1:9" x14ac:dyDescent="0.25">
      <c r="A49" s="6">
        <v>44684</v>
      </c>
      <c r="B49" s="18">
        <f t="shared" ref="B49" si="42">WEEKNUM(A49)</f>
        <v>19</v>
      </c>
      <c r="C49" s="11">
        <v>2</v>
      </c>
      <c r="D49" s="12" t="s">
        <v>10</v>
      </c>
      <c r="E49" s="13" t="s">
        <v>18</v>
      </c>
      <c r="F49" s="13" t="s">
        <v>28</v>
      </c>
      <c r="I49" s="14"/>
    </row>
    <row r="50" spans="1:9" x14ac:dyDescent="0.25">
      <c r="A50" s="6">
        <v>44684</v>
      </c>
      <c r="B50" s="18">
        <f t="shared" ref="B50" si="43">WEEKNUM(A50)</f>
        <v>19</v>
      </c>
      <c r="C50" s="11">
        <v>2.25</v>
      </c>
      <c r="D50" s="12" t="s">
        <v>10</v>
      </c>
      <c r="E50" s="13" t="s">
        <v>26</v>
      </c>
      <c r="F50" s="13" t="s">
        <v>27</v>
      </c>
      <c r="I50" s="14"/>
    </row>
    <row r="51" spans="1:9" x14ac:dyDescent="0.25">
      <c r="A51" s="6">
        <v>44684</v>
      </c>
      <c r="B51" s="18">
        <f t="shared" ref="B51" si="44">WEEKNUM(A51)</f>
        <v>19</v>
      </c>
      <c r="C51" s="11">
        <v>1</v>
      </c>
      <c r="D51" s="12" t="s">
        <v>12</v>
      </c>
      <c r="E51" s="13" t="s">
        <v>16</v>
      </c>
      <c r="F51" s="13" t="s">
        <v>25</v>
      </c>
      <c r="I51" s="14"/>
    </row>
    <row r="52" spans="1:9" ht="30" x14ac:dyDescent="0.25">
      <c r="A52" s="6">
        <v>44684</v>
      </c>
      <c r="B52" s="18">
        <f t="shared" ref="B52" si="45">WEEKNUM(A52)</f>
        <v>19</v>
      </c>
      <c r="C52" s="11">
        <v>1.5</v>
      </c>
      <c r="D52" s="12" t="s">
        <v>12</v>
      </c>
      <c r="E52" s="13" t="s">
        <v>17</v>
      </c>
      <c r="F52" s="13" t="s">
        <v>24</v>
      </c>
      <c r="H52" s="25"/>
      <c r="I52" s="14"/>
    </row>
    <row r="53" spans="1:9" x14ac:dyDescent="0.25">
      <c r="A53" s="6">
        <v>44683</v>
      </c>
      <c r="B53" s="18">
        <f t="shared" ref="B53" si="46">WEEKNUM(A53)</f>
        <v>19</v>
      </c>
      <c r="C53" s="11">
        <v>1</v>
      </c>
      <c r="D53" s="12" t="s">
        <v>6</v>
      </c>
      <c r="E53" s="13" t="s">
        <v>16</v>
      </c>
      <c r="F53" s="13" t="s">
        <v>23</v>
      </c>
      <c r="H53" s="25"/>
      <c r="I53" s="14"/>
    </row>
    <row r="54" spans="1:9" x14ac:dyDescent="0.25">
      <c r="A54" s="6">
        <v>44683</v>
      </c>
      <c r="B54" s="18">
        <f t="shared" ref="B54" si="47">WEEKNUM(A54)</f>
        <v>19</v>
      </c>
      <c r="C54" s="11">
        <v>2.5</v>
      </c>
      <c r="D54" s="12" t="s">
        <v>12</v>
      </c>
      <c r="E54" s="13" t="s">
        <v>15</v>
      </c>
      <c r="F54" s="13" t="s">
        <v>22</v>
      </c>
      <c r="I54" s="14"/>
    </row>
    <row r="55" spans="1:9" x14ac:dyDescent="0.25">
      <c r="A55" s="6">
        <v>44683</v>
      </c>
      <c r="B55" s="18">
        <f t="shared" ref="B55" si="48">WEEKNUM(A55)</f>
        <v>19</v>
      </c>
      <c r="C55" s="11">
        <v>1</v>
      </c>
      <c r="D55" s="12" t="s">
        <v>12</v>
      </c>
      <c r="E55" s="13" t="s">
        <v>14</v>
      </c>
      <c r="F55" s="13" t="s">
        <v>21</v>
      </c>
      <c r="I55" s="14"/>
    </row>
    <row r="56" spans="1:9" x14ac:dyDescent="0.25">
      <c r="A56" s="26">
        <v>44683</v>
      </c>
      <c r="B56" s="27">
        <f t="shared" ref="B56" si="49">WEEKNUM(A56)</f>
        <v>19</v>
      </c>
      <c r="C56" s="28">
        <v>1.5</v>
      </c>
      <c r="D56" s="29" t="s">
        <v>92</v>
      </c>
      <c r="E56" s="30" t="s">
        <v>19</v>
      </c>
      <c r="F56" s="30" t="s">
        <v>20</v>
      </c>
      <c r="I56" s="14"/>
    </row>
    <row r="57" spans="1:9" x14ac:dyDescent="0.25">
      <c r="A57" s="20"/>
    </row>
  </sheetData>
  <sheetProtection selectLockedCells="1"/>
  <mergeCells count="1">
    <mergeCell ref="A1:F2"/>
  </mergeCells>
  <pageMargins left="0.23622047244094491" right="0.23622047244094491" top="0.74803149606299213" bottom="0.74803149606299213" header="0.31496062992125984" footer="0.31496062992125984"/>
  <pageSetup paperSize="153" scale="21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5</xdr:col>
                    <xdr:colOff>3238500</xdr:colOff>
                    <xdr:row>3</xdr:row>
                    <xdr:rowOff>57150</xdr:rowOff>
                  </from>
                  <to>
                    <xdr:col>5</xdr:col>
                    <xdr:colOff>4943475</xdr:colOff>
                    <xdr:row>4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Paramètres!$A$2:$A$10</xm:f>
          </x14:formula1>
          <xm:sqref>D7:D56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B6" sqref="B6"/>
    </sheetView>
  </sheetViews>
  <sheetFormatPr baseColWidth="10" defaultColWidth="11.42578125" defaultRowHeight="15" x14ac:dyDescent="0.25"/>
  <cols>
    <col min="1" max="1" width="17.140625" customWidth="1"/>
    <col min="2" max="2" width="7" customWidth="1"/>
    <col min="3" max="3" width="11.140625" bestFit="1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3" t="s">
        <v>7</v>
      </c>
    </row>
    <row r="4" spans="1:3" x14ac:dyDescent="0.25">
      <c r="B4" t="s">
        <v>6</v>
      </c>
      <c r="C4" t="s">
        <v>8</v>
      </c>
    </row>
    <row r="5" spans="1:3" x14ac:dyDescent="0.25">
      <c r="A5" s="4">
        <v>43101</v>
      </c>
      <c r="B5">
        <v>1</v>
      </c>
      <c r="C5">
        <v>1</v>
      </c>
    </row>
    <row r="6" spans="1:3" x14ac:dyDescent="0.25">
      <c r="A6" s="4" t="s">
        <v>8</v>
      </c>
      <c r="B6">
        <v>1</v>
      </c>
      <c r="C6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3"/>
  <dimension ref="A1:A10"/>
  <sheetViews>
    <sheetView workbookViewId="0">
      <selection activeCell="A4" sqref="A4"/>
    </sheetView>
  </sheetViews>
  <sheetFormatPr baseColWidth="10" defaultColWidth="11.42578125" defaultRowHeight="15" x14ac:dyDescent="0.25"/>
  <cols>
    <col min="1" max="1" width="13.140625" bestFit="1" customWidth="1"/>
  </cols>
  <sheetData>
    <row r="1" spans="1:1" x14ac:dyDescent="0.25">
      <c r="A1" s="2" t="s">
        <v>9</v>
      </c>
    </row>
    <row r="2" spans="1:1" x14ac:dyDescent="0.25">
      <c r="A2" s="1" t="s">
        <v>6</v>
      </c>
    </row>
    <row r="3" spans="1:1" x14ac:dyDescent="0.25">
      <c r="A3" t="s">
        <v>92</v>
      </c>
    </row>
    <row r="4" spans="1:1" x14ac:dyDescent="0.25">
      <c r="A4" t="s">
        <v>85</v>
      </c>
    </row>
    <row r="5" spans="1:1" x14ac:dyDescent="0.25">
      <c r="A5" t="s">
        <v>84</v>
      </c>
    </row>
    <row r="6" spans="1:1" x14ac:dyDescent="0.25">
      <c r="A6" t="s">
        <v>75</v>
      </c>
    </row>
    <row r="7" spans="1:1" x14ac:dyDescent="0.25">
      <c r="A7" s="1" t="s">
        <v>10</v>
      </c>
    </row>
    <row r="8" spans="1:1" x14ac:dyDescent="0.25">
      <c r="A8" s="1" t="s">
        <v>11</v>
      </c>
    </row>
    <row r="9" spans="1:1" x14ac:dyDescent="0.25">
      <c r="A9" s="1" t="s">
        <v>12</v>
      </c>
    </row>
    <row r="10" spans="1:1" x14ac:dyDescent="0.25">
      <c r="A10" s="1" t="s">
        <v>13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autoFill="0" autoPict="0" macro="[0]!NewTaskType">
                <anchor moveWithCells="1" sizeWithCells="1">
                  <from>
                    <xdr:col>0</xdr:col>
                    <xdr:colOff>9525</xdr:colOff>
                    <xdr:row>10</xdr:row>
                    <xdr:rowOff>28575</xdr:rowOff>
                  </from>
                  <to>
                    <xdr:col>0</xdr:col>
                    <xdr:colOff>990600</xdr:colOff>
                    <xdr:row>11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7" ma:contentTypeDescription="Crée un document." ma:contentTypeScope="" ma:versionID="03e14c2536b56bc7dd47f79481c7176c">
  <xsd:schema xmlns:xsd="http://www.w3.org/2001/XMLSchema" xmlns:xs="http://www.w3.org/2001/XMLSchema" xmlns:p="http://schemas.microsoft.com/office/2006/metadata/properties" xmlns:ns2="0119da2b-60ce-4773-88fa-ebab2cde1f55" xmlns:ns3="c00db93e-a012-41a1-8dae-1f2fb8b40d56" targetNamespace="http://schemas.microsoft.com/office/2006/metadata/properties" ma:root="true" ma:fieldsID="5b7050275a68257b53998f6363dd12a8" ns2:_="" ns3:_="">
    <xsd:import namespace="0119da2b-60ce-4773-88fa-ebab2cde1f55"/>
    <xsd:import namespace="c00db93e-a012-41a1-8dae-1f2fb8b40d5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LengthInSecond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0db93e-a012-41a1-8dae-1f2fb8b40d5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45CEF55-1403-4A29-B1D8-DBB8825B0D9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c00db93e-a012-41a1-8dae-1f2fb8b40d5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F030087-15DC-4EDA-9907-372A451C849E}">
  <ds:schemaRefs>
    <ds:schemaRef ds:uri="c00db93e-a012-41a1-8dae-1f2fb8b40d56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0119da2b-60ce-4773-88fa-ebab2cde1f55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958F7502-934F-41DD-8A96-9B5DD575AFB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Journal</vt:lpstr>
      <vt:lpstr>Totaux</vt:lpstr>
      <vt:lpstr>Paramètres</vt:lpstr>
      <vt:lpstr>base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2022-05-16T14:43:40Z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