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7" i="1"/>
  <c r="B8" i="1"/>
  <c r="B9" i="1"/>
  <c r="B10" i="1"/>
  <c r="B11" i="1"/>
  <c r="B12" i="1"/>
  <c r="B13" i="1"/>
  <c r="B14" i="1"/>
  <c r="B15" i="1"/>
  <c r="B16" i="1"/>
  <c r="B18" i="1" l="1"/>
  <c r="B19" i="1"/>
  <c r="B20" i="1"/>
  <c r="B21" i="1"/>
  <c r="B22" i="1"/>
  <c r="B23" i="1"/>
  <c r="B24" i="1"/>
  <c r="B25" i="1"/>
  <c r="B26" i="1"/>
  <c r="B27" i="1"/>
  <c r="B28" i="1"/>
  <c r="B29" i="1"/>
  <c r="B30" i="1"/>
  <c r="B31" i="1" l="1"/>
  <c r="B32" i="1"/>
  <c r="B33" i="1" l="1"/>
  <c r="B34" i="1"/>
  <c r="B35" i="1"/>
  <c r="B36" i="1"/>
  <c r="B37" i="1"/>
  <c r="B38" i="1"/>
  <c r="B40" i="1" l="1"/>
  <c r="B41" i="1"/>
  <c r="B42" i="1"/>
  <c r="B43" i="1"/>
  <c r="B44" i="1"/>
  <c r="B45" i="1" l="1"/>
  <c r="B46" i="1"/>
  <c r="B47" i="1"/>
  <c r="B48" i="1"/>
  <c r="B49" i="1"/>
  <c r="B50" i="1"/>
  <c r="B51" i="1"/>
  <c r="B52" i="1" l="1"/>
  <c r="B53" i="1"/>
  <c r="B54" i="1"/>
  <c r="B55" i="1"/>
  <c r="B56" i="1"/>
  <c r="B57" i="1"/>
  <c r="B58" i="1"/>
  <c r="B59" i="1" l="1"/>
  <c r="B60" i="1"/>
  <c r="B61" i="1"/>
  <c r="B62" i="1"/>
  <c r="B63" i="1"/>
  <c r="B64" i="1"/>
  <c r="B65" i="1"/>
  <c r="B66" i="1"/>
  <c r="B67" i="1"/>
  <c r="B69" i="1" l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</calcChain>
</file>

<file path=xl/sharedStrings.xml><?xml version="1.0" encoding="utf-8"?>
<sst xmlns="http://schemas.openxmlformats.org/spreadsheetml/2006/main" count="250" uniqueCount="159">
  <si>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</si>
  <si>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</si>
  <si>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</si>
  <si>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</si>
  <si>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</si>
  <si>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</si>
  <si>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</si>
  <si>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</si>
  <si>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</si>
  <si>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</si>
  <si>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</si>
  <si>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</si>
  <si>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</si>
  <si>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</si>
  <si>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Établissement du journal de travail, création du iceScrum ainsi que du répertoire git</t>
  </si>
  <si>
    <t>Documentation : Introduction, sprint planning</t>
  </si>
  <si>
    <t>IceScrum : Création des tâches</t>
  </si>
  <si>
    <t>Maquettes de l'app</t>
  </si>
  <si>
    <t>Création de la base de données</t>
  </si>
  <si>
    <t>Rencontre de l'expert M. Alain Roy (Expert NO 1)</t>
  </si>
  <si>
    <t>Explication du déroulement du TPI</t>
  </si>
  <si>
    <t>Création d'un fichier excel afin de faire le journal de travail</t>
  </si>
  <si>
    <t>L'introduction de la documentation et le sprint planning on été complétés</t>
  </si>
  <si>
    <t>Création des différentes stories ainsi que les sprints</t>
  </si>
  <si>
    <t>Création de la maquette pour les conversations publics et les conversations privées</t>
  </si>
  <si>
    <t>Création des features</t>
  </si>
  <si>
    <t>Création du projet sur visual studio, interface du chat</t>
  </si>
  <si>
    <t>Après la création du projet, travail sur l'affichage du chat en public et privée</t>
  </si>
  <si>
    <t>Création de la base de données ainsi que des différentes tables</t>
  </si>
  <si>
    <t>TPI : Chat en C#</t>
  </si>
  <si>
    <t>Réalisé par: Eaaswaralingam Kaarththigan</t>
  </si>
  <si>
    <t>Classe: SI-C4b</t>
  </si>
  <si>
    <t>Création de l'interface du chat</t>
  </si>
  <si>
    <t>Revue avec le chef de projet</t>
  </si>
  <si>
    <t>Finalisation des tâches iceScrum</t>
  </si>
  <si>
    <t>Interface du chat</t>
  </si>
  <si>
    <t>Recherche programmation d'un chat</t>
  </si>
  <si>
    <t>Recherche sur internet différentes manières de coder un chat</t>
  </si>
  <si>
    <t>Changement de l'interface pour qu'il soit plus érgonomique</t>
  </si>
  <si>
    <t>Création des diagramme de flux</t>
  </si>
  <si>
    <t>Création des diagramme pour le lancement du programme, du suppression du message de quelqu'un d'autre ainsi que de la suppression de son propre message</t>
  </si>
  <si>
    <t>iceScrum : stories sprint 2</t>
  </si>
  <si>
    <t>Lancement du sprint 2 puis assignation des tâches pour celui-ci.</t>
  </si>
  <si>
    <t>Aide de Christnovie dans la programmation</t>
  </si>
  <si>
    <t>Aide de Christnovie pour les chamgement de page en dynamique (changer de page sans fermer la fenêtre actuelle)</t>
  </si>
  <si>
    <t>Recherche programmation "envoie de son message"</t>
  </si>
  <si>
    <t>Recherche sur internet différentes manières de créer la fonction pour envoyer un message</t>
  </si>
  <si>
    <t>Diagramme de flux</t>
  </si>
  <si>
    <t>Insertion des diagrammes de flux dans la documentation + création des nouvelles</t>
  </si>
  <si>
    <t>Établissement des stratégies de tests</t>
  </si>
  <si>
    <t>Établissement de celles-ci dans un bloc note</t>
  </si>
  <si>
    <t>Établissement de l'ordre des tâches</t>
  </si>
  <si>
    <t>Changement de page dynamique</t>
  </si>
  <si>
    <t>Insertion de la fonction permettant d'avoir des changements de page dynamiques</t>
  </si>
  <si>
    <t>Insertion de la maquette du chat privée dans la documentation + ajout des légendes</t>
  </si>
  <si>
    <t>Création d'un diagramme de flux pour les fonctions admin</t>
  </si>
  <si>
    <t>Établissement d'une liste des employées</t>
  </si>
  <si>
    <t>Génération de prénom et nom aléatoire + insertion dans un bloc note de 15 employées</t>
  </si>
  <si>
    <t>Insertion des employés dans la base de données</t>
  </si>
  <si>
    <t>Insertion des employés créés dans la base de données (dans la table "tblemployes")</t>
  </si>
  <si>
    <t>Création du login</t>
  </si>
  <si>
    <t>Création de l'interface du login + création de compte pour chaque employés</t>
  </si>
  <si>
    <t>Documentation sur les employées</t>
  </si>
  <si>
    <t>Des infos à propos des employées, de leur compte ainsi que des infos sur les types de comptes dans la documentation</t>
  </si>
  <si>
    <t>Recherche infos sur les stratégie de test</t>
  </si>
  <si>
    <t>Recherche sur internet comment établir des stratégies de tests</t>
  </si>
  <si>
    <t>Établissement de quelques stratégies de tests</t>
  </si>
  <si>
    <t>Implémentation de changements de pages dynamique</t>
  </si>
  <si>
    <t>Implémentation sur toutes les pages présentes pour le changement de pages dynamiques</t>
  </si>
  <si>
    <t>Établissement de quelques stratégies de test sur bloc-note</t>
  </si>
  <si>
    <t>Redirection des bouton (les boutons du menus) sur les pages respectifs</t>
  </si>
  <si>
    <t>Rediriger les bouton de façon dynamiques sur les pages respectives</t>
  </si>
  <si>
    <t>Recherche manière d'afficher les messages</t>
  </si>
  <si>
    <t>Recherche sur internet les différentes manières de pouvoir afficher des données SQL. Dans notre cas, c'est pour afficher les messages que les employés envoient</t>
  </si>
  <si>
    <t>Sprint review : Sprint 1</t>
  </si>
  <si>
    <t>Sprint Review</t>
  </si>
  <si>
    <t>Validation du sprint 1 avec le chef du projet</t>
  </si>
  <si>
    <t>Création de la page des paramètres</t>
  </si>
  <si>
    <t>Création du script pour insérer des messages dans la base de données</t>
  </si>
  <si>
    <t>Création de l'interface du page des paramètres</t>
  </si>
  <si>
    <t>Création du script qui sera relié au bouton "Envoyer" pour envoyer les messages (n'est pas encore relié)</t>
  </si>
  <si>
    <t>Recherche de moyen d'afficher des données dans une item "ListView"</t>
  </si>
  <si>
    <t>Total heure :</t>
  </si>
  <si>
    <t>SQL</t>
  </si>
  <si>
    <t>Recherches</t>
  </si>
  <si>
    <t>Réarrangement sur planification initiale</t>
  </si>
  <si>
    <t>Planification initiale faite sur un design smart art sur Word (la planification est la même, seul la mise en forme de celle-ci dans la documentation a changée).</t>
  </si>
  <si>
    <t>Définition des sprints goal dans la documentation (n'était faite que sur IceScrum)</t>
  </si>
  <si>
    <t>Les sprints goals ont également été faites grâce aux smart art.</t>
  </si>
  <si>
    <t>Uses cases scénario</t>
  </si>
  <si>
    <t>Écriture des uses cases scénarios pour l'envoi d'un message et la suppression d'un message</t>
  </si>
  <si>
    <t>Review</t>
  </si>
  <si>
    <t>Stratégies de test</t>
  </si>
  <si>
    <t>Affichage des message</t>
  </si>
  <si>
    <t>Tests d'affichage des messages</t>
  </si>
  <si>
    <t>Écriture des stratégies de tests dans la documentation</t>
  </si>
  <si>
    <t>Création du fichier excel du planning actuel</t>
  </si>
  <si>
    <t>Création d'un fichier excel afin de pouvoir compléter le planning actuel. Ce planning se retrouvera dans la documentation tout à la fin.</t>
  </si>
  <si>
    <t>Création de la page de gestion des collaborateurs</t>
  </si>
  <si>
    <t>Test différentes méthodes pour afficher le chat</t>
  </si>
  <si>
    <t>Recherche de différentes méthodes sur internet pour afficher des données SQL et test de celles-ci sur une application c# pour pouvoir voir laquelle est la meilleure.</t>
  </si>
  <si>
    <t>Maquettes des fonction utilisateurs standard et modérateur créés</t>
  </si>
  <si>
    <t>Maquette des fonctions utilisateurs mises dans la documentation</t>
  </si>
  <si>
    <t>Documentation complétée avec la maquette des fonctions utilisateurs standards.</t>
  </si>
  <si>
    <t>Code pour afficher des données SQL</t>
  </si>
  <si>
    <t>Test d'un code pour afficher des données SQL sur une application C#</t>
  </si>
  <si>
    <t>Visite de l'expert Bertrand Sahli</t>
  </si>
  <si>
    <t>Visite de l'expert NO 2 afin de voir l'avancement et prendre des nouvelles sur le projets.</t>
  </si>
  <si>
    <t>Ce premier sprint consistait à mettre tous les environnements en place et définir les objectifs pour chaque semaine. Cela a pris du temps mais c'était important que tout soit bien mis en place et les objectifs bien défini. J'ai pas rencontré de probblèmes particuliers durant ce sprint.</t>
  </si>
  <si>
    <t>Le deuxième sprint s'et plutôt bien passé au niveau de la documentation. Cependant pour la programmation j'ai pris plus de temps que prévues pour certaines tâches. Surtout pour : afficher les messages, envoyer son message et supprimer son message. C'est plus spécifiquement l'affichage des message qui me posait problèmes et les autres fonctions sont reliés à celle-ci. Donc j'ai dû déplacer ces tâches pour le sprint 3.</t>
  </si>
  <si>
    <t>Sprint 1 :</t>
  </si>
  <si>
    <t>Sprint 2 :</t>
  </si>
  <si>
    <t>Recherche sur internet de moyen d'afficher des données SQL sur une item "ListView", aucun résultat trouvé à propos de la mise en forme des messages dans un listview. Seulement l'affichage en brut à été trouvée.</t>
  </si>
  <si>
    <t>Recherche mises en forme items listbox</t>
  </si>
  <si>
    <t>Recherche de comment mettre en forme les items sur une listbox</t>
  </si>
  <si>
    <t>Maquette de la page administrateur (gestion des collaborateurs)</t>
  </si>
  <si>
    <t>Réalisation de la maquette concernant la page administrateur</t>
  </si>
  <si>
    <t>Stratégie de tests concernant les fonctions administrateurs</t>
  </si>
  <si>
    <t>Stratégie de tests concernant le modérateur</t>
  </si>
  <si>
    <t>Stratégie de tests concernant l'administrateur et le modérateur</t>
  </si>
  <si>
    <t>Changement dans la base de données</t>
  </si>
  <si>
    <t>Changement de champs dans quelques tables dans la base de données.</t>
  </si>
  <si>
    <t>Page des gestion des collaborateurs (admin)</t>
  </si>
  <si>
    <t>Travail sur la page des gestion des collaborateurs</t>
  </si>
  <si>
    <t>Implémentation de la fonction : envoi des messages</t>
  </si>
  <si>
    <t>Finalisation de la maquette des fonctions administrateurs</t>
  </si>
  <si>
    <t>Finalisation et implémentation des maquettes dans la documentation</t>
  </si>
  <si>
    <t>affichage des messages en brute</t>
  </si>
  <si>
    <t>Affichage des message en brutes dans la listbox (cela permet de pouvoir avancer avec les autres fonctions)</t>
  </si>
  <si>
    <t>Les utilisateurs peuvent désormais envoyer des messages</t>
  </si>
  <si>
    <t>Recherche sur internet la mise en forme des items d'un listbox</t>
  </si>
  <si>
    <t>Mises en forme des message dans la listbox</t>
  </si>
  <si>
    <t xml:space="preserve">Implémentation de la mises en forme sur la listbox </t>
  </si>
  <si>
    <t>Implémentation de la lecture des messages</t>
  </si>
  <si>
    <t>Implémentation de la lecture de tous les messages</t>
  </si>
  <si>
    <t>Recherche un moyen de récupérer l'id d'un item d'une listbox</t>
  </si>
  <si>
    <t>Recherche d'un moyen de récupérer l'id d'un item d'une listbox pour pouvoir implémenter la fonction supprimer un message</t>
  </si>
  <si>
    <t>Création de la classe message</t>
  </si>
  <si>
    <t>Création de la classe message pour y stocker les différents message et les informations nécessaires comme la personne qui l'a envoyés</t>
  </si>
  <si>
    <t>Implémentation de cette fonction dans l'application</t>
  </si>
  <si>
    <t>Implémentation de la fonction "supprimer un message"</t>
  </si>
  <si>
    <t>Création de la classe utilisateur</t>
  </si>
  <si>
    <t>Création de la classe utilisateur pour pouvoir stocker lors du login les informations de la personne qui va se connecter</t>
  </si>
  <si>
    <t>Implémentation de la fonction qui permet d'afficher les personnes envoyant les messages</t>
  </si>
  <si>
    <t>Cette fonction permet d'afficher le nom et prénom de la personne qui envoie le message</t>
  </si>
  <si>
    <t>Correction au niveau du contextmenu</t>
  </si>
  <si>
    <t>Correction de la fonction contenant le contextmenu (le petit menu qui s'affiche lors du clic droit sur un message). Cette fonction s'exécutait plusieurs fois.</t>
  </si>
  <si>
    <t>Implémentation de la fonction "supprimer que son message"</t>
  </si>
  <si>
    <t>Création d'une autre fonction permettant de pouvoir supprimer que les messages envoyés par la personnes connectée</t>
  </si>
  <si>
    <t>Implémentation de la fonction permettant de rafraichir le chat</t>
  </si>
  <si>
    <t>Rafraichissement du chat (en public) dès que la base de données a des données différentes que celles affichées dans la listbox</t>
  </si>
  <si>
    <t>Implémentation des fonction modérateurs et administrateurs</t>
  </si>
  <si>
    <t>Création des fonctions permettant aux administrateurs de pouvoir supprimer n'importe quel message</t>
  </si>
  <si>
    <t>Documentation sur les différents stratégie de tests</t>
  </si>
  <si>
    <t>Documentation de différentes stratégies des tests</t>
  </si>
  <si>
    <t xml:space="preserve">Tests effectués dans la partie du chat </t>
  </si>
  <si>
    <t>Test effectués concernant l'envoie, la suppression et l'affichage des messages</t>
  </si>
  <si>
    <t>Mises en place de l'affichage des messages pour pouvoir travailler sur les fonctionnalités principaux (envoie, suppression de message). Une idée précise a été faite de comment ces différentes fonctionnalités vont être programmés. Pris un peu trop de temps au niveau de l'affichage du chat</t>
  </si>
  <si>
    <t>Sprint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</si>
</sst>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2" xfId="0" applyBorder="1" applyProtection="1">
      <protection locked="0"/>
    </xf>
    <xf numFmtId="2" fontId="0" fillId="0" borderId="3" xfId="0" applyNumberFormat="1" applyBorder="1" applyProtection="1">
      <protection locked="0"/>
    </xf>
    <xf numFmtId="2" fontId="0" fillId="0" borderId="0" xfId="0" applyNumberFormat="1" applyProtection="1">
      <protection locked="0"/>
    </xf>
    <xf numFmtId="16" fontId="0" fillId="3" borderId="1" xfId="0" applyNumberFormat="1" applyFill="1" applyBorder="1" applyAlignment="1" applyProtection="1">
      <alignment horizontal="center" vertical="center"/>
      <protection locked="0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6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  <xf numFmtId="0" fontId="7" fillId="4" borderId="5" xfId="0" applyFont="1" applyFill="1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 applyProtection="1">
      <alignment horizontal="center" vertical="center"/>
      <protection locked="0"/>
    </xf>
    <xf numFmtId="16" fontId="6" fillId="4" borderId="4" xfId="0" applyNumberFormat="1" applyFont="1" applyFill="1" applyBorder="1" applyAlignment="1" applyProtection="1">
      <alignment horizontal="center" vertical="center" wrapText="1"/>
      <protection locked="0"/>
    </xf>
    <xf numFmtId="16" fontId="6" fillId="4" borderId="6" xfId="0" applyNumberFormat="1" applyFont="1" applyFill="1" applyBorder="1" applyAlignment="1" applyProtection="1">
      <alignment horizontal="center" vertical="center" wrapText="1"/>
      <protection locked="0"/>
    </xf>
    <xf numFmtId="16" fontId="7" fillId="4" borderId="4" xfId="0" applyNumberFormat="1" applyFont="1" applyFill="1" applyBorder="1" applyAlignment="1" applyProtection="1">
      <alignment horizontal="center" vertical="center"/>
      <protection locked="0"/>
    </xf>
    <xf numFmtId="16" fontId="7" fillId="4" borderId="5" xfId="0" applyNumberFormat="1" applyFont="1" applyFill="1" applyBorder="1" applyAlignment="1" applyProtection="1">
      <alignment horizontal="center" vertical="center"/>
      <protection locked="0"/>
    </xf>
    <xf numFmtId="16" fontId="7" fillId="4" borderId="6" xfId="0" applyNumberFormat="1" applyFont="1" applyFill="1" applyBorder="1" applyAlignment="1" applyProtection="1">
      <alignment horizontal="center" vertical="center"/>
      <protection locked="0"/>
    </xf>
    <xf numFmtId="0" fontId="6" fillId="4" borderId="4" xfId="0" applyFont="1" applyFill="1" applyBorder="1" applyAlignment="1" applyProtection="1">
      <alignment horizontal="center" vertical="center" wrapText="1"/>
      <protection locked="0"/>
    </xf>
    <xf numFmtId="0" fontId="6" fillId="4" borderId="6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3238500</xdr:colOff>
          <xdr:row>3</xdr:row>
          <xdr:rowOff>57150</xdr:rowOff>
        </xdr:from>
        <xdr:to>
          <xdr:col>5</xdr:col>
          <xdr:colOff>4943475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10</xdr:row>
          <xdr:rowOff>28575</xdr:rowOff>
        </xdr:from>
        <xdr:to>
          <xdr:col>0</xdr:col>
          <xdr:colOff>990600</xdr:colOff>
          <xdr:row>11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84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5"/>
  <sheetViews>
    <sheetView tabSelected="1" zoomScale="90" zoomScaleNormal="90" workbookViewId="0">
      <selection activeCell="E12" sqref="E12"/>
    </sheetView>
  </sheetViews>
  <sheetFormatPr baseColWidth="10" defaultColWidth="9.140625" defaultRowHeight="15" x14ac:dyDescent="0.25"/>
  <cols>
    <col min="1" max="1" width="9.5703125" style="7" customWidth="1"/>
    <col min="2" max="2" width="11.85546875" style="19" customWidth="1"/>
    <col min="3" max="3" width="11.5703125" style="15" customWidth="1"/>
    <col min="4" max="4" width="17.5703125" style="7" customWidth="1"/>
    <col min="5" max="5" width="84.85546875" style="16" bestFit="1" customWidth="1"/>
    <col min="6" max="6" width="75.140625" style="16" customWidth="1"/>
    <col min="7" max="7" width="12.140625" style="10" customWidth="1"/>
    <col min="8" max="8" width="11.85546875" style="10" customWidth="1"/>
    <col min="9" max="16384" width="9.140625" style="10"/>
  </cols>
  <sheetData>
    <row r="1" spans="1:9" s="21" customFormat="1" ht="14.1" customHeight="1" x14ac:dyDescent="0.2">
      <c r="A1" s="36" t="s">
        <v>29</v>
      </c>
      <c r="B1" s="36"/>
      <c r="C1" s="36"/>
      <c r="D1" s="36"/>
      <c r="E1" s="36"/>
      <c r="F1" s="36"/>
    </row>
    <row r="2" spans="1:9" s="21" customFormat="1" ht="14.25" x14ac:dyDescent="0.2">
      <c r="A2" s="36"/>
      <c r="B2" s="36"/>
      <c r="C2" s="36"/>
      <c r="D2" s="36"/>
      <c r="E2" s="36"/>
      <c r="F2" s="36"/>
    </row>
    <row r="3" spans="1:9" s="21" customFormat="1" ht="24.95" customHeight="1" x14ac:dyDescent="0.2">
      <c r="E3" s="21" t="s">
        <v>30</v>
      </c>
      <c r="F3" s="22" t="s">
        <v>31</v>
      </c>
    </row>
    <row r="4" spans="1:9" ht="15.75" thickBot="1" x14ac:dyDescent="0.3"/>
    <row r="5" spans="1:9" ht="15.75" thickBot="1" x14ac:dyDescent="0.3">
      <c r="B5" s="23" t="s">
        <v>82</v>
      </c>
      <c r="C5" s="24">
        <f>SUM(C7:C496)</f>
        <v>80.25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31">
        <v>44705</v>
      </c>
      <c r="B7" s="32">
        <f t="shared" ref="B7" si="0">WEEKNUM(A7)</f>
        <v>22</v>
      </c>
      <c r="C7" s="33">
        <v>1</v>
      </c>
      <c r="D7" s="34" t="s">
        <v>12</v>
      </c>
      <c r="E7" s="35" t="s">
        <v>155</v>
      </c>
      <c r="F7" s="35" t="s">
        <v>156</v>
      </c>
      <c r="I7" s="14"/>
    </row>
    <row r="8" spans="1:9" x14ac:dyDescent="0.25">
      <c r="A8" s="31">
        <v>44705</v>
      </c>
      <c r="B8" s="32">
        <f t="shared" ref="B8" si="1">WEEKNUM(A8)</f>
        <v>22</v>
      </c>
      <c r="C8" s="33">
        <v>1</v>
      </c>
      <c r="D8" s="34" t="s">
        <v>12</v>
      </c>
      <c r="E8" s="35" t="s">
        <v>153</v>
      </c>
      <c r="F8" s="35" t="s">
        <v>154</v>
      </c>
      <c r="I8" s="14"/>
    </row>
    <row r="9" spans="1:9" ht="30" x14ac:dyDescent="0.25">
      <c r="A9" s="31">
        <v>44705</v>
      </c>
      <c r="B9" s="32">
        <f t="shared" ref="B9" si="2">WEEKNUM(A9)</f>
        <v>22</v>
      </c>
      <c r="C9" s="33">
        <v>1</v>
      </c>
      <c r="D9" s="34" t="s">
        <v>10</v>
      </c>
      <c r="E9" s="35" t="s">
        <v>151</v>
      </c>
      <c r="F9" s="35" t="s">
        <v>152</v>
      </c>
      <c r="I9" s="14"/>
    </row>
    <row r="10" spans="1:9" ht="30" x14ac:dyDescent="0.25">
      <c r="A10" s="31">
        <v>44705</v>
      </c>
      <c r="B10" s="32">
        <f t="shared" ref="B10" si="3">WEEKNUM(A10)</f>
        <v>22</v>
      </c>
      <c r="C10" s="33">
        <v>2</v>
      </c>
      <c r="D10" s="34" t="s">
        <v>10</v>
      </c>
      <c r="E10" s="35" t="s">
        <v>147</v>
      </c>
      <c r="F10" s="35" t="s">
        <v>148</v>
      </c>
      <c r="I10" s="14"/>
    </row>
    <row r="11" spans="1:9" ht="30" x14ac:dyDescent="0.25">
      <c r="A11" s="31">
        <v>44705</v>
      </c>
      <c r="B11" s="32">
        <f t="shared" ref="B11" si="4">WEEKNUM(A11)</f>
        <v>22</v>
      </c>
      <c r="C11" s="33">
        <v>1.75</v>
      </c>
      <c r="D11" s="34" t="s">
        <v>10</v>
      </c>
      <c r="E11" s="35" t="s">
        <v>149</v>
      </c>
      <c r="F11" s="35" t="s">
        <v>150</v>
      </c>
      <c r="I11" s="14"/>
    </row>
    <row r="12" spans="1:9" ht="30" x14ac:dyDescent="0.25">
      <c r="A12" s="31">
        <v>44704</v>
      </c>
      <c r="B12" s="32">
        <f t="shared" ref="B12" si="5">WEEKNUM(A12)</f>
        <v>22</v>
      </c>
      <c r="C12" s="33">
        <v>1</v>
      </c>
      <c r="D12" s="34" t="s">
        <v>10</v>
      </c>
      <c r="E12" s="35" t="s">
        <v>145</v>
      </c>
      <c r="F12" s="35" t="s">
        <v>146</v>
      </c>
      <c r="I12" s="14"/>
    </row>
    <row r="13" spans="1:9" ht="30" x14ac:dyDescent="0.25">
      <c r="A13" s="31">
        <v>44704</v>
      </c>
      <c r="B13" s="32">
        <f t="shared" ref="B13" si="6">WEEKNUM(A13)</f>
        <v>22</v>
      </c>
      <c r="C13" s="33">
        <v>1</v>
      </c>
      <c r="D13" s="34" t="s">
        <v>10</v>
      </c>
      <c r="E13" s="35" t="s">
        <v>143</v>
      </c>
      <c r="F13" s="35" t="s">
        <v>144</v>
      </c>
      <c r="I13" s="14"/>
    </row>
    <row r="14" spans="1:9" ht="30" x14ac:dyDescent="0.25">
      <c r="A14" s="31">
        <v>44704</v>
      </c>
      <c r="B14" s="32">
        <f t="shared" ref="B14" si="7">WEEKNUM(A14)</f>
        <v>22</v>
      </c>
      <c r="C14" s="33">
        <v>1.5</v>
      </c>
      <c r="D14" s="34" t="s">
        <v>10</v>
      </c>
      <c r="E14" s="35" t="s">
        <v>141</v>
      </c>
      <c r="F14" s="35" t="s">
        <v>142</v>
      </c>
      <c r="I14" s="14"/>
    </row>
    <row r="15" spans="1:9" x14ac:dyDescent="0.25">
      <c r="A15" s="31">
        <v>44704</v>
      </c>
      <c r="B15" s="32">
        <f t="shared" ref="B15" si="8">WEEKNUM(A15)</f>
        <v>22</v>
      </c>
      <c r="C15" s="33">
        <v>1.5</v>
      </c>
      <c r="D15" s="34" t="s">
        <v>10</v>
      </c>
      <c r="E15" s="35" t="s">
        <v>140</v>
      </c>
      <c r="F15" s="35" t="s">
        <v>139</v>
      </c>
      <c r="I15" s="14"/>
    </row>
    <row r="16" spans="1:9" ht="30" x14ac:dyDescent="0.25">
      <c r="A16" s="31">
        <v>44704</v>
      </c>
      <c r="B16" s="32">
        <f t="shared" ref="B16" si="9">WEEKNUM(A16)</f>
        <v>22</v>
      </c>
      <c r="C16" s="33">
        <v>1</v>
      </c>
      <c r="D16" s="34" t="s">
        <v>10</v>
      </c>
      <c r="E16" s="35" t="s">
        <v>137</v>
      </c>
      <c r="F16" s="35" t="s">
        <v>138</v>
      </c>
      <c r="I16" s="14"/>
    </row>
    <row r="17" spans="1:9" ht="60" customHeight="1" x14ac:dyDescent="0.25">
      <c r="A17" s="41" t="s">
        <v>158</v>
      </c>
      <c r="B17" s="42"/>
      <c r="C17" s="42"/>
      <c r="D17" s="43"/>
      <c r="E17" s="44" t="s">
        <v>157</v>
      </c>
      <c r="F17" s="45"/>
      <c r="I17" s="14"/>
    </row>
    <row r="18" spans="1:9" ht="30" x14ac:dyDescent="0.25">
      <c r="A18" s="31">
        <v>44701</v>
      </c>
      <c r="B18" s="32">
        <f t="shared" ref="B18" si="10">WEEKNUM(A18)</f>
        <v>21</v>
      </c>
      <c r="C18" s="33">
        <v>2</v>
      </c>
      <c r="D18" s="34" t="s">
        <v>84</v>
      </c>
      <c r="E18" s="35" t="s">
        <v>135</v>
      </c>
      <c r="F18" s="35" t="s">
        <v>136</v>
      </c>
      <c r="I18" s="14"/>
    </row>
    <row r="19" spans="1:9" x14ac:dyDescent="0.25">
      <c r="A19" s="31">
        <v>44701</v>
      </c>
      <c r="B19" s="32">
        <f t="shared" ref="B19" si="11">WEEKNUM(A19)</f>
        <v>21</v>
      </c>
      <c r="C19" s="33">
        <v>1</v>
      </c>
      <c r="D19" s="34" t="s">
        <v>10</v>
      </c>
      <c r="E19" s="35" t="s">
        <v>133</v>
      </c>
      <c r="F19" s="35" t="s">
        <v>134</v>
      </c>
      <c r="I19" s="14"/>
    </row>
    <row r="20" spans="1:9" x14ac:dyDescent="0.25">
      <c r="A20" s="31">
        <v>44701</v>
      </c>
      <c r="B20" s="32">
        <f t="shared" ref="B20" si="12">WEEKNUM(A20)</f>
        <v>21</v>
      </c>
      <c r="C20" s="33">
        <v>1.25</v>
      </c>
      <c r="D20" s="34" t="s">
        <v>10</v>
      </c>
      <c r="E20" s="35" t="s">
        <v>131</v>
      </c>
      <c r="F20" s="35" t="s">
        <v>132</v>
      </c>
      <c r="I20" s="14"/>
    </row>
    <row r="21" spans="1:9" x14ac:dyDescent="0.25">
      <c r="A21" s="31">
        <v>44701</v>
      </c>
      <c r="B21" s="32">
        <f t="shared" ref="B21" si="13">WEEKNUM(A21)</f>
        <v>21</v>
      </c>
      <c r="C21" s="33">
        <v>1</v>
      </c>
      <c r="D21" s="34" t="s">
        <v>84</v>
      </c>
      <c r="E21" s="35" t="s">
        <v>113</v>
      </c>
      <c r="F21" s="35" t="s">
        <v>130</v>
      </c>
      <c r="I21" s="14"/>
    </row>
    <row r="22" spans="1:9" x14ac:dyDescent="0.25">
      <c r="A22" s="31">
        <v>44700</v>
      </c>
      <c r="B22" s="32">
        <f t="shared" ref="B22" si="14">WEEKNUM(A22)</f>
        <v>21</v>
      </c>
      <c r="C22" s="33">
        <v>1</v>
      </c>
      <c r="D22" s="34" t="s">
        <v>84</v>
      </c>
      <c r="E22" s="35" t="s">
        <v>113</v>
      </c>
      <c r="F22" s="35" t="s">
        <v>130</v>
      </c>
      <c r="I22" s="14"/>
    </row>
    <row r="23" spans="1:9" x14ac:dyDescent="0.25">
      <c r="A23" s="31">
        <v>44700</v>
      </c>
      <c r="B23" s="32">
        <f t="shared" ref="B23" si="15">WEEKNUM(A23)</f>
        <v>21</v>
      </c>
      <c r="C23" s="33">
        <v>0.5</v>
      </c>
      <c r="D23" s="34" t="s">
        <v>12</v>
      </c>
      <c r="E23" s="35" t="s">
        <v>125</v>
      </c>
      <c r="F23" s="35" t="s">
        <v>126</v>
      </c>
      <c r="I23" s="14"/>
    </row>
    <row r="24" spans="1:9" x14ac:dyDescent="0.25">
      <c r="A24" s="31">
        <v>44700</v>
      </c>
      <c r="B24" s="32">
        <f t="shared" ref="B24" si="16">WEEKNUM(A24)</f>
        <v>21</v>
      </c>
      <c r="C24" s="33">
        <v>1.5</v>
      </c>
      <c r="D24" s="34" t="s">
        <v>10</v>
      </c>
      <c r="E24" s="35" t="s">
        <v>124</v>
      </c>
      <c r="F24" s="35" t="s">
        <v>129</v>
      </c>
      <c r="I24" s="14"/>
    </row>
    <row r="25" spans="1:9" ht="30" x14ac:dyDescent="0.25">
      <c r="A25" s="31">
        <v>44700</v>
      </c>
      <c r="B25" s="32">
        <f t="shared" ref="B25" si="17">WEEKNUM(A25)</f>
        <v>21</v>
      </c>
      <c r="C25" s="33">
        <v>1.5</v>
      </c>
      <c r="D25" s="34" t="s">
        <v>10</v>
      </c>
      <c r="E25" s="35" t="s">
        <v>127</v>
      </c>
      <c r="F25" s="35" t="s">
        <v>128</v>
      </c>
      <c r="I25" s="14"/>
    </row>
    <row r="26" spans="1:9" x14ac:dyDescent="0.25">
      <c r="A26" s="31">
        <v>44698</v>
      </c>
      <c r="B26" s="32">
        <f t="shared" ref="B26" si="18">WEEKNUM(A26)</f>
        <v>21</v>
      </c>
      <c r="C26" s="33">
        <v>1</v>
      </c>
      <c r="D26" s="34" t="s">
        <v>10</v>
      </c>
      <c r="E26" s="35" t="s">
        <v>122</v>
      </c>
      <c r="F26" s="35" t="s">
        <v>123</v>
      </c>
      <c r="I26" s="14"/>
    </row>
    <row r="27" spans="1:9" x14ac:dyDescent="0.25">
      <c r="A27" s="31">
        <v>44698</v>
      </c>
      <c r="B27" s="32">
        <f t="shared" ref="B27" si="19">WEEKNUM(A27)</f>
        <v>21</v>
      </c>
      <c r="C27" s="33">
        <v>1</v>
      </c>
      <c r="D27" s="34" t="s">
        <v>83</v>
      </c>
      <c r="E27" s="35" t="s">
        <v>120</v>
      </c>
      <c r="F27" s="35" t="s">
        <v>121</v>
      </c>
      <c r="I27" s="14"/>
    </row>
    <row r="28" spans="1:9" x14ac:dyDescent="0.25">
      <c r="A28" s="31">
        <v>44698</v>
      </c>
      <c r="B28" s="32">
        <f t="shared" ref="B28" si="20">WEEKNUM(A28)</f>
        <v>21</v>
      </c>
      <c r="C28" s="33">
        <v>1</v>
      </c>
      <c r="D28" s="34" t="s">
        <v>12</v>
      </c>
      <c r="E28" s="35" t="s">
        <v>118</v>
      </c>
      <c r="F28" s="35" t="s">
        <v>117</v>
      </c>
      <c r="I28" s="14"/>
    </row>
    <row r="29" spans="1:9" x14ac:dyDescent="0.25">
      <c r="A29" s="31">
        <v>44698</v>
      </c>
      <c r="B29" s="32">
        <f t="shared" ref="B29" si="21">WEEKNUM(A29)</f>
        <v>21</v>
      </c>
      <c r="C29" s="33">
        <v>1</v>
      </c>
      <c r="D29" s="34" t="s">
        <v>12</v>
      </c>
      <c r="E29" s="35" t="s">
        <v>119</v>
      </c>
      <c r="F29" s="35" t="s">
        <v>117</v>
      </c>
      <c r="I29" s="14"/>
    </row>
    <row r="30" spans="1:9" x14ac:dyDescent="0.25">
      <c r="A30" s="31">
        <v>44698</v>
      </c>
      <c r="B30" s="32">
        <f t="shared" ref="B30" si="22">WEEKNUM(A30)</f>
        <v>21</v>
      </c>
      <c r="C30" s="33">
        <v>1</v>
      </c>
      <c r="D30" s="34" t="s">
        <v>12</v>
      </c>
      <c r="E30" s="35" t="s">
        <v>115</v>
      </c>
      <c r="F30" s="35" t="s">
        <v>116</v>
      </c>
      <c r="I30" s="14"/>
    </row>
    <row r="31" spans="1:9" x14ac:dyDescent="0.25">
      <c r="A31" s="31">
        <v>44698</v>
      </c>
      <c r="B31" s="32">
        <f t="shared" ref="B31" si="23">WEEKNUM(A31)</f>
        <v>21</v>
      </c>
      <c r="C31" s="33">
        <v>1</v>
      </c>
      <c r="D31" s="34" t="s">
        <v>84</v>
      </c>
      <c r="E31" s="35" t="s">
        <v>113</v>
      </c>
      <c r="F31" s="35" t="s">
        <v>114</v>
      </c>
      <c r="I31" s="14"/>
    </row>
    <row r="32" spans="1:9" ht="30" x14ac:dyDescent="0.25">
      <c r="A32" s="26">
        <v>44698</v>
      </c>
      <c r="B32" s="27">
        <f t="shared" ref="B32" si="24">WEEKNUM(A32)</f>
        <v>21</v>
      </c>
      <c r="C32" s="28">
        <v>0.75</v>
      </c>
      <c r="D32" s="29" t="s">
        <v>91</v>
      </c>
      <c r="E32" s="30" t="s">
        <v>106</v>
      </c>
      <c r="F32" s="30" t="s">
        <v>107</v>
      </c>
      <c r="I32" s="14"/>
    </row>
    <row r="33" spans="1:9" x14ac:dyDescent="0.25">
      <c r="A33" s="6">
        <v>44697</v>
      </c>
      <c r="B33" s="18">
        <f t="shared" ref="B33" si="25">WEEKNUM(A33)</f>
        <v>21</v>
      </c>
      <c r="C33" s="11">
        <v>0.5</v>
      </c>
      <c r="D33" s="12" t="s">
        <v>10</v>
      </c>
      <c r="E33" s="13" t="s">
        <v>104</v>
      </c>
      <c r="F33" s="13" t="s">
        <v>105</v>
      </c>
      <c r="I33" s="14"/>
    </row>
    <row r="34" spans="1:9" x14ac:dyDescent="0.25">
      <c r="A34" s="6">
        <v>44697</v>
      </c>
      <c r="B34" s="18">
        <f t="shared" ref="B34" si="26">WEEKNUM(A34)</f>
        <v>21</v>
      </c>
      <c r="C34" s="11">
        <v>0.5</v>
      </c>
      <c r="D34" s="12" t="s">
        <v>12</v>
      </c>
      <c r="E34" s="13" t="s">
        <v>102</v>
      </c>
      <c r="F34" s="13" t="s">
        <v>103</v>
      </c>
      <c r="I34" s="14"/>
    </row>
    <row r="35" spans="1:9" x14ac:dyDescent="0.25">
      <c r="A35" s="6">
        <v>44697</v>
      </c>
      <c r="B35" s="18">
        <f t="shared" ref="B35" si="27">WEEKNUM(A35)</f>
        <v>21</v>
      </c>
      <c r="C35" s="11">
        <v>1</v>
      </c>
      <c r="D35" s="12" t="s">
        <v>12</v>
      </c>
      <c r="E35" s="13" t="s">
        <v>101</v>
      </c>
      <c r="F35" s="13" t="s">
        <v>101</v>
      </c>
      <c r="I35" s="14"/>
    </row>
    <row r="36" spans="1:9" ht="30" x14ac:dyDescent="0.25">
      <c r="A36" s="6">
        <v>44697</v>
      </c>
      <c r="B36" s="18">
        <f t="shared" ref="B36" si="28">WEEKNUM(A36)</f>
        <v>21</v>
      </c>
      <c r="C36" s="11">
        <v>1</v>
      </c>
      <c r="D36" s="12" t="s">
        <v>12</v>
      </c>
      <c r="E36" s="13" t="s">
        <v>99</v>
      </c>
      <c r="F36" s="13" t="s">
        <v>100</v>
      </c>
      <c r="I36" s="14"/>
    </row>
    <row r="37" spans="1:9" ht="30" x14ac:dyDescent="0.25">
      <c r="A37" s="6">
        <v>44697</v>
      </c>
      <c r="B37" s="18">
        <f t="shared" ref="B37" si="29">WEEKNUM(A37)</f>
        <v>21</v>
      </c>
      <c r="C37" s="11">
        <v>2</v>
      </c>
      <c r="D37" s="12" t="s">
        <v>10</v>
      </c>
      <c r="E37" s="13" t="s">
        <v>98</v>
      </c>
      <c r="F37" s="13" t="s">
        <v>97</v>
      </c>
      <c r="I37" s="14"/>
    </row>
    <row r="38" spans="1:9" ht="30" x14ac:dyDescent="0.25">
      <c r="A38" s="6">
        <v>44697</v>
      </c>
      <c r="B38" s="18">
        <f t="shared" ref="B38" si="30">WEEKNUM(A38)</f>
        <v>21</v>
      </c>
      <c r="C38" s="11">
        <v>1</v>
      </c>
      <c r="D38" s="12" t="s">
        <v>12</v>
      </c>
      <c r="E38" s="13" t="s">
        <v>96</v>
      </c>
      <c r="F38" s="13" t="s">
        <v>97</v>
      </c>
      <c r="I38" s="14"/>
    </row>
    <row r="39" spans="1:9" ht="60" customHeight="1" x14ac:dyDescent="0.25">
      <c r="A39" s="37" t="s">
        <v>111</v>
      </c>
      <c r="B39" s="37"/>
      <c r="C39" s="37"/>
      <c r="D39" s="38"/>
      <c r="E39" s="39" t="s">
        <v>109</v>
      </c>
      <c r="F39" s="40"/>
      <c r="I39" s="14"/>
    </row>
    <row r="40" spans="1:9" x14ac:dyDescent="0.25">
      <c r="A40" s="6">
        <v>44694</v>
      </c>
      <c r="B40" s="18">
        <f t="shared" ref="B40" si="31">WEEKNUM(A40)</f>
        <v>20</v>
      </c>
      <c r="C40" s="11">
        <v>1</v>
      </c>
      <c r="D40" s="12" t="s">
        <v>10</v>
      </c>
      <c r="E40" s="13" t="s">
        <v>93</v>
      </c>
      <c r="F40" s="13" t="s">
        <v>94</v>
      </c>
      <c r="I40" s="14"/>
    </row>
    <row r="41" spans="1:9" x14ac:dyDescent="0.25">
      <c r="A41" s="6">
        <v>44694</v>
      </c>
      <c r="B41" s="18">
        <f t="shared" ref="B41" si="32">WEEKNUM(A41)</f>
        <v>20</v>
      </c>
      <c r="C41" s="11">
        <v>0.25</v>
      </c>
      <c r="D41" s="12" t="s">
        <v>12</v>
      </c>
      <c r="E41" s="13" t="s">
        <v>92</v>
      </c>
      <c r="F41" s="13" t="s">
        <v>95</v>
      </c>
      <c r="I41" s="14"/>
    </row>
    <row r="42" spans="1:9" ht="30" x14ac:dyDescent="0.25">
      <c r="A42" s="6">
        <v>44694</v>
      </c>
      <c r="B42" s="18">
        <f t="shared" ref="B42" si="33">WEEKNUM(A42)</f>
        <v>20</v>
      </c>
      <c r="C42" s="11">
        <v>1.5</v>
      </c>
      <c r="D42" s="12" t="s">
        <v>12</v>
      </c>
      <c r="E42" s="13" t="s">
        <v>89</v>
      </c>
      <c r="F42" s="13" t="s">
        <v>90</v>
      </c>
      <c r="I42" s="14"/>
    </row>
    <row r="43" spans="1:9" x14ac:dyDescent="0.25">
      <c r="A43" s="6">
        <v>44694</v>
      </c>
      <c r="B43" s="18">
        <f t="shared" ref="B43" si="34">WEEKNUM(A43)</f>
        <v>20</v>
      </c>
      <c r="C43" s="11">
        <v>1</v>
      </c>
      <c r="D43" s="12" t="s">
        <v>12</v>
      </c>
      <c r="E43" s="13" t="s">
        <v>87</v>
      </c>
      <c r="F43" s="13" t="s">
        <v>88</v>
      </c>
      <c r="I43" s="14"/>
    </row>
    <row r="44" spans="1:9" x14ac:dyDescent="0.25">
      <c r="A44" s="6">
        <v>44694</v>
      </c>
      <c r="B44" s="18">
        <f t="shared" ref="B44" si="35">WEEKNUM(A44)</f>
        <v>20</v>
      </c>
      <c r="C44" s="11">
        <v>0.5</v>
      </c>
      <c r="D44" s="12" t="s">
        <v>12</v>
      </c>
      <c r="E44" s="13" t="s">
        <v>87</v>
      </c>
      <c r="F44" s="13" t="s">
        <v>88</v>
      </c>
      <c r="I44" s="14"/>
    </row>
    <row r="45" spans="1:9" ht="30" x14ac:dyDescent="0.25">
      <c r="A45" s="6">
        <v>44694</v>
      </c>
      <c r="B45" s="18">
        <f t="shared" ref="B45" si="36">WEEKNUM(A45)</f>
        <v>20</v>
      </c>
      <c r="C45" s="11">
        <v>1</v>
      </c>
      <c r="D45" s="12" t="s">
        <v>12</v>
      </c>
      <c r="E45" s="13" t="s">
        <v>85</v>
      </c>
      <c r="F45" s="13" t="s">
        <v>86</v>
      </c>
      <c r="I45" s="14"/>
    </row>
    <row r="46" spans="1:9" ht="45" x14ac:dyDescent="0.25">
      <c r="A46" s="6">
        <v>44693</v>
      </c>
      <c r="B46" s="18">
        <f t="shared" ref="B46" si="37">WEEKNUM(A46)</f>
        <v>20</v>
      </c>
      <c r="C46" s="11">
        <v>1</v>
      </c>
      <c r="D46" s="12" t="s">
        <v>84</v>
      </c>
      <c r="E46" s="13" t="s">
        <v>81</v>
      </c>
      <c r="F46" s="13" t="s">
        <v>112</v>
      </c>
      <c r="I46" s="14"/>
    </row>
    <row r="47" spans="1:9" ht="30" x14ac:dyDescent="0.25">
      <c r="A47" s="6">
        <v>44693</v>
      </c>
      <c r="B47" s="18">
        <f t="shared" ref="B47" si="38">WEEKNUM(A47)</f>
        <v>20</v>
      </c>
      <c r="C47" s="11">
        <v>1</v>
      </c>
      <c r="D47" s="12" t="s">
        <v>83</v>
      </c>
      <c r="E47" s="13" t="s">
        <v>78</v>
      </c>
      <c r="F47" s="13" t="s">
        <v>80</v>
      </c>
      <c r="I47" s="14"/>
    </row>
    <row r="48" spans="1:9" x14ac:dyDescent="0.25">
      <c r="A48" s="6">
        <v>44693</v>
      </c>
      <c r="B48" s="18">
        <f t="shared" ref="B48" si="39">WEEKNUM(A48)</f>
        <v>20</v>
      </c>
      <c r="C48" s="11">
        <v>0.25</v>
      </c>
      <c r="D48" s="12" t="s">
        <v>10</v>
      </c>
      <c r="E48" s="13" t="s">
        <v>77</v>
      </c>
      <c r="F48" s="13" t="s">
        <v>79</v>
      </c>
      <c r="I48" s="14"/>
    </row>
    <row r="49" spans="1:9" x14ac:dyDescent="0.25">
      <c r="A49" s="26">
        <v>44693</v>
      </c>
      <c r="B49" s="27">
        <f t="shared" ref="B49" si="40">WEEKNUM(A49)</f>
        <v>20</v>
      </c>
      <c r="C49" s="28">
        <v>0.75</v>
      </c>
      <c r="D49" s="29" t="s">
        <v>75</v>
      </c>
      <c r="E49" s="30" t="s">
        <v>74</v>
      </c>
      <c r="F49" s="30" t="s">
        <v>76</v>
      </c>
      <c r="I49" s="14"/>
    </row>
    <row r="50" spans="1:9" ht="30" x14ac:dyDescent="0.25">
      <c r="A50" s="6">
        <v>44693</v>
      </c>
      <c r="B50" s="18">
        <f t="shared" ref="B50" si="41">WEEKNUM(A50)</f>
        <v>20</v>
      </c>
      <c r="C50" s="11">
        <v>1</v>
      </c>
      <c r="D50" s="12" t="s">
        <v>84</v>
      </c>
      <c r="E50" s="13" t="s">
        <v>72</v>
      </c>
      <c r="F50" s="13" t="s">
        <v>73</v>
      </c>
      <c r="I50" s="14"/>
    </row>
    <row r="51" spans="1:9" x14ac:dyDescent="0.25">
      <c r="A51" s="6">
        <v>44693</v>
      </c>
      <c r="B51" s="18">
        <f t="shared" ref="B51" si="42">WEEKNUM(A51)</f>
        <v>20</v>
      </c>
      <c r="C51" s="11">
        <v>0.5</v>
      </c>
      <c r="D51" s="12" t="s">
        <v>10</v>
      </c>
      <c r="E51" s="13" t="s">
        <v>70</v>
      </c>
      <c r="F51" s="13" t="s">
        <v>71</v>
      </c>
      <c r="I51" s="14"/>
    </row>
    <row r="52" spans="1:9" ht="30" x14ac:dyDescent="0.25">
      <c r="A52" s="6">
        <v>44691</v>
      </c>
      <c r="B52" s="18">
        <f t="shared" ref="B52" si="43">WEEKNUM(A52)</f>
        <v>20</v>
      </c>
      <c r="C52" s="11">
        <v>1.25</v>
      </c>
      <c r="D52" s="12" t="s">
        <v>10</v>
      </c>
      <c r="E52" s="13" t="s">
        <v>67</v>
      </c>
      <c r="F52" s="13" t="s">
        <v>68</v>
      </c>
      <c r="I52" s="14"/>
    </row>
    <row r="53" spans="1:9" x14ac:dyDescent="0.25">
      <c r="A53" s="6">
        <v>44691</v>
      </c>
      <c r="B53" s="18">
        <f t="shared" ref="B53" si="44">WEEKNUM(A53)</f>
        <v>20</v>
      </c>
      <c r="C53" s="11">
        <v>1</v>
      </c>
      <c r="D53" s="12" t="s">
        <v>12</v>
      </c>
      <c r="E53" s="13" t="s">
        <v>66</v>
      </c>
      <c r="F53" s="13" t="s">
        <v>69</v>
      </c>
      <c r="I53" s="14"/>
    </row>
    <row r="54" spans="1:9" x14ac:dyDescent="0.25">
      <c r="A54" s="6">
        <v>44691</v>
      </c>
      <c r="B54" s="18">
        <f t="shared" ref="B54" si="45">WEEKNUM(A54)</f>
        <v>20</v>
      </c>
      <c r="C54" s="11">
        <v>1</v>
      </c>
      <c r="D54" s="12" t="s">
        <v>84</v>
      </c>
      <c r="E54" s="13" t="s">
        <v>64</v>
      </c>
      <c r="F54" s="13" t="s">
        <v>65</v>
      </c>
      <c r="I54" s="14"/>
    </row>
    <row r="55" spans="1:9" ht="30" x14ac:dyDescent="0.25">
      <c r="A55" s="6">
        <v>44691</v>
      </c>
      <c r="B55" s="18">
        <f t="shared" ref="B55" si="46">WEEKNUM(A55)</f>
        <v>20</v>
      </c>
      <c r="C55" s="11">
        <v>1</v>
      </c>
      <c r="D55" s="12" t="s">
        <v>12</v>
      </c>
      <c r="E55" s="13" t="s">
        <v>62</v>
      </c>
      <c r="F55" s="13" t="s">
        <v>63</v>
      </c>
      <c r="I55" s="14"/>
    </row>
    <row r="56" spans="1:9" x14ac:dyDescent="0.25">
      <c r="A56" s="6">
        <v>44691</v>
      </c>
      <c r="B56" s="18">
        <f t="shared" ref="B56" si="47">WEEKNUM(A56)</f>
        <v>20</v>
      </c>
      <c r="C56" s="11">
        <v>1.5</v>
      </c>
      <c r="D56" s="12" t="s">
        <v>10</v>
      </c>
      <c r="E56" s="13" t="s">
        <v>60</v>
      </c>
      <c r="F56" s="13" t="s">
        <v>61</v>
      </c>
      <c r="I56" s="14"/>
    </row>
    <row r="57" spans="1:9" ht="30" x14ac:dyDescent="0.25">
      <c r="A57" s="6">
        <v>44691</v>
      </c>
      <c r="B57" s="18">
        <f t="shared" ref="B57" si="48">WEEKNUM(A57)</f>
        <v>20</v>
      </c>
      <c r="C57" s="11">
        <v>0.5</v>
      </c>
      <c r="D57" s="12" t="s">
        <v>12</v>
      </c>
      <c r="E57" s="13" t="s">
        <v>58</v>
      </c>
      <c r="F57" s="13" t="s">
        <v>59</v>
      </c>
      <c r="I57" s="14"/>
    </row>
    <row r="58" spans="1:9" ht="30" x14ac:dyDescent="0.25">
      <c r="A58" s="6">
        <v>44691</v>
      </c>
      <c r="B58" s="18">
        <f t="shared" ref="B58" si="49">WEEKNUM(A58)</f>
        <v>20</v>
      </c>
      <c r="C58" s="11">
        <v>0.5</v>
      </c>
      <c r="D58" s="12" t="s">
        <v>12</v>
      </c>
      <c r="E58" s="13" t="s">
        <v>56</v>
      </c>
      <c r="F58" s="13" t="s">
        <v>57</v>
      </c>
      <c r="I58" s="14"/>
    </row>
    <row r="59" spans="1:9" x14ac:dyDescent="0.25">
      <c r="A59" s="6">
        <v>44690</v>
      </c>
      <c r="B59" s="18">
        <f t="shared" ref="B59" si="50">WEEKNUM(A59)</f>
        <v>20</v>
      </c>
      <c r="C59" s="11">
        <v>0.25</v>
      </c>
      <c r="D59" s="12" t="s">
        <v>12</v>
      </c>
      <c r="E59" s="13" t="s">
        <v>47</v>
      </c>
      <c r="F59" s="13" t="s">
        <v>55</v>
      </c>
      <c r="I59" s="14"/>
    </row>
    <row r="60" spans="1:9" ht="30" x14ac:dyDescent="0.25">
      <c r="A60" s="6">
        <v>44690</v>
      </c>
      <c r="B60" s="18">
        <f t="shared" ref="B60" si="51">WEEKNUM(A60)</f>
        <v>20</v>
      </c>
      <c r="C60" s="11">
        <v>0.25</v>
      </c>
      <c r="D60" s="12" t="s">
        <v>12</v>
      </c>
      <c r="E60" s="13" t="s">
        <v>17</v>
      </c>
      <c r="F60" s="13" t="s">
        <v>54</v>
      </c>
      <c r="I60" s="14"/>
    </row>
    <row r="61" spans="1:9" x14ac:dyDescent="0.25">
      <c r="A61" s="6">
        <v>44690</v>
      </c>
      <c r="B61" s="18">
        <f t="shared" ref="B61" si="52">WEEKNUM(A61)</f>
        <v>20</v>
      </c>
      <c r="C61" s="11">
        <v>1.5</v>
      </c>
      <c r="D61" s="12" t="s">
        <v>10</v>
      </c>
      <c r="E61" s="13" t="s">
        <v>52</v>
      </c>
      <c r="F61" s="13" t="s">
        <v>53</v>
      </c>
      <c r="I61" s="14"/>
    </row>
    <row r="62" spans="1:9" x14ac:dyDescent="0.25">
      <c r="A62" s="6">
        <v>44690</v>
      </c>
      <c r="B62" s="18">
        <f t="shared" ref="B62" si="53">WEEKNUM(A62)</f>
        <v>20</v>
      </c>
      <c r="C62" s="11">
        <v>0.5</v>
      </c>
      <c r="D62" s="12" t="s">
        <v>6</v>
      </c>
      <c r="E62" s="13" t="s">
        <v>51</v>
      </c>
      <c r="F62" s="13" t="s">
        <v>50</v>
      </c>
      <c r="I62" s="14"/>
    </row>
    <row r="63" spans="1:9" x14ac:dyDescent="0.25">
      <c r="A63" s="6">
        <v>44690</v>
      </c>
      <c r="B63" s="18">
        <f t="shared" ref="B63" si="54">WEEKNUM(A63)</f>
        <v>20</v>
      </c>
      <c r="C63" s="11">
        <v>0.5</v>
      </c>
      <c r="D63" s="12" t="s">
        <v>6</v>
      </c>
      <c r="E63" s="13" t="s">
        <v>49</v>
      </c>
      <c r="F63" s="13" t="s">
        <v>50</v>
      </c>
      <c r="I63" s="14"/>
    </row>
    <row r="64" spans="1:9" x14ac:dyDescent="0.25">
      <c r="A64" s="6">
        <v>44690</v>
      </c>
      <c r="B64" s="18">
        <f t="shared" ref="B64" si="55">WEEKNUM(A64)</f>
        <v>20</v>
      </c>
      <c r="C64" s="11">
        <v>1</v>
      </c>
      <c r="D64" s="12" t="s">
        <v>12</v>
      </c>
      <c r="E64" s="13" t="s">
        <v>47</v>
      </c>
      <c r="F64" s="13" t="s">
        <v>48</v>
      </c>
      <c r="I64" s="14"/>
    </row>
    <row r="65" spans="1:9" ht="30" x14ac:dyDescent="0.25">
      <c r="A65" s="6">
        <v>44690</v>
      </c>
      <c r="B65" s="18">
        <f t="shared" ref="B65" si="56">WEEKNUM(A65)</f>
        <v>20</v>
      </c>
      <c r="C65" s="11">
        <v>0.5</v>
      </c>
      <c r="D65" s="12" t="s">
        <v>84</v>
      </c>
      <c r="E65" s="13" t="s">
        <v>45</v>
      </c>
      <c r="F65" s="13" t="s">
        <v>46</v>
      </c>
      <c r="I65" s="14"/>
    </row>
    <row r="66" spans="1:9" ht="30" x14ac:dyDescent="0.25">
      <c r="A66" s="6">
        <v>44690</v>
      </c>
      <c r="B66" s="18">
        <f t="shared" ref="B66" si="57">WEEKNUM(A66)</f>
        <v>20</v>
      </c>
      <c r="C66" s="11">
        <v>1</v>
      </c>
      <c r="D66" s="12" t="s">
        <v>6</v>
      </c>
      <c r="E66" s="13" t="s">
        <v>43</v>
      </c>
      <c r="F66" s="13" t="s">
        <v>44</v>
      </c>
      <c r="I66" s="14"/>
    </row>
    <row r="67" spans="1:9" x14ac:dyDescent="0.25">
      <c r="A67" s="6">
        <v>44690</v>
      </c>
      <c r="B67" s="18">
        <f t="shared" ref="B67" si="58">WEEKNUM(A67)</f>
        <v>20</v>
      </c>
      <c r="C67" s="11">
        <v>0.5</v>
      </c>
      <c r="D67" s="12" t="s">
        <v>6</v>
      </c>
      <c r="E67" s="13" t="s">
        <v>41</v>
      </c>
      <c r="F67" s="13" t="s">
        <v>42</v>
      </c>
      <c r="I67" s="14"/>
    </row>
    <row r="68" spans="1:9" ht="60" customHeight="1" x14ac:dyDescent="0.25">
      <c r="A68" s="37" t="s">
        <v>110</v>
      </c>
      <c r="B68" s="37"/>
      <c r="C68" s="37"/>
      <c r="D68" s="38"/>
      <c r="E68" s="39" t="s">
        <v>108</v>
      </c>
      <c r="F68" s="40"/>
      <c r="I68" s="14"/>
    </row>
    <row r="69" spans="1:9" ht="30" x14ac:dyDescent="0.25">
      <c r="A69" s="6">
        <v>44687</v>
      </c>
      <c r="B69" s="18">
        <f t="shared" ref="B69" si="59">WEEKNUM(A69)</f>
        <v>19</v>
      </c>
      <c r="C69" s="11">
        <v>1.25</v>
      </c>
      <c r="D69" s="12" t="s">
        <v>6</v>
      </c>
      <c r="E69" s="13" t="s">
        <v>39</v>
      </c>
      <c r="F69" s="13" t="s">
        <v>40</v>
      </c>
      <c r="I69" s="14"/>
    </row>
    <row r="70" spans="1:9" x14ac:dyDescent="0.25">
      <c r="A70" s="6">
        <v>44687</v>
      </c>
      <c r="B70" s="18">
        <f t="shared" ref="B70" si="60">WEEKNUM(A70)</f>
        <v>19</v>
      </c>
      <c r="C70" s="11">
        <v>2</v>
      </c>
      <c r="D70" s="12" t="s">
        <v>84</v>
      </c>
      <c r="E70" s="13" t="s">
        <v>36</v>
      </c>
      <c r="F70" s="13" t="s">
        <v>37</v>
      </c>
      <c r="I70" s="14"/>
    </row>
    <row r="71" spans="1:9" x14ac:dyDescent="0.25">
      <c r="A71" s="6">
        <v>44687</v>
      </c>
      <c r="B71" s="18">
        <f t="shared" ref="B71" si="61">WEEKNUM(A71)</f>
        <v>19</v>
      </c>
      <c r="C71" s="11">
        <v>2</v>
      </c>
      <c r="D71" s="12" t="s">
        <v>10</v>
      </c>
      <c r="E71" s="13" t="s">
        <v>35</v>
      </c>
      <c r="F71" s="13" t="s">
        <v>38</v>
      </c>
      <c r="I71" s="14"/>
    </row>
    <row r="72" spans="1:9" x14ac:dyDescent="0.25">
      <c r="A72" s="6">
        <v>44686</v>
      </c>
      <c r="B72" s="18">
        <f t="shared" ref="B72" si="62">WEEKNUM(A72)</f>
        <v>19</v>
      </c>
      <c r="C72" s="11">
        <v>0.5</v>
      </c>
      <c r="D72" s="12" t="s">
        <v>10</v>
      </c>
      <c r="E72" s="13" t="s">
        <v>35</v>
      </c>
      <c r="F72" s="13"/>
      <c r="I72" s="14"/>
    </row>
    <row r="73" spans="1:9" x14ac:dyDescent="0.25">
      <c r="A73" s="6">
        <v>44686</v>
      </c>
      <c r="B73" s="18">
        <f t="shared" ref="B73" si="63">WEEKNUM(A73)</f>
        <v>19</v>
      </c>
      <c r="C73" s="11">
        <v>2</v>
      </c>
      <c r="D73" s="12" t="s">
        <v>6</v>
      </c>
      <c r="E73" s="13" t="s">
        <v>17</v>
      </c>
      <c r="F73" s="13"/>
      <c r="I73" s="14"/>
    </row>
    <row r="74" spans="1:9" x14ac:dyDescent="0.25">
      <c r="A74" s="6">
        <v>44686</v>
      </c>
      <c r="B74" s="18">
        <f t="shared" ref="B74" si="64">WEEKNUM(A74)</f>
        <v>19</v>
      </c>
      <c r="C74" s="11">
        <v>0.5</v>
      </c>
      <c r="D74" s="12" t="s">
        <v>6</v>
      </c>
      <c r="E74" s="13" t="s">
        <v>34</v>
      </c>
      <c r="F74" s="13"/>
      <c r="I74" s="14"/>
    </row>
    <row r="75" spans="1:9" x14ac:dyDescent="0.25">
      <c r="A75" s="26">
        <v>44686</v>
      </c>
      <c r="B75" s="27">
        <f t="shared" ref="B75" si="65">WEEKNUM(A75)</f>
        <v>19</v>
      </c>
      <c r="C75" s="28">
        <v>1</v>
      </c>
      <c r="D75" s="29" t="s">
        <v>91</v>
      </c>
      <c r="E75" s="30" t="s">
        <v>33</v>
      </c>
      <c r="F75" s="30"/>
      <c r="I75" s="14"/>
    </row>
    <row r="76" spans="1:9" x14ac:dyDescent="0.25">
      <c r="A76" s="6">
        <v>44686</v>
      </c>
      <c r="B76" s="18">
        <f t="shared" ref="B76" si="66">WEEKNUM(A76)</f>
        <v>19</v>
      </c>
      <c r="C76" s="11">
        <v>0.5</v>
      </c>
      <c r="D76" s="12" t="s">
        <v>10</v>
      </c>
      <c r="E76" s="13" t="s">
        <v>32</v>
      </c>
      <c r="F76" s="13"/>
      <c r="I76" s="14"/>
    </row>
    <row r="77" spans="1:9" x14ac:dyDescent="0.25">
      <c r="A77" s="6">
        <v>44684</v>
      </c>
      <c r="B77" s="18">
        <f t="shared" ref="B77" si="67">WEEKNUM(A77)</f>
        <v>19</v>
      </c>
      <c r="C77" s="11">
        <v>2</v>
      </c>
      <c r="D77" s="12" t="s">
        <v>10</v>
      </c>
      <c r="E77" s="13" t="s">
        <v>18</v>
      </c>
      <c r="F77" s="13" t="s">
        <v>28</v>
      </c>
      <c r="I77" s="14"/>
    </row>
    <row r="78" spans="1:9" x14ac:dyDescent="0.25">
      <c r="A78" s="6">
        <v>44684</v>
      </c>
      <c r="B78" s="18">
        <f t="shared" ref="B78" si="68">WEEKNUM(A78)</f>
        <v>19</v>
      </c>
      <c r="C78" s="11">
        <v>2.25</v>
      </c>
      <c r="D78" s="12" t="s">
        <v>10</v>
      </c>
      <c r="E78" s="13" t="s">
        <v>26</v>
      </c>
      <c r="F78" s="13" t="s">
        <v>27</v>
      </c>
      <c r="I78" s="14"/>
    </row>
    <row r="79" spans="1:9" x14ac:dyDescent="0.25">
      <c r="A79" s="6">
        <v>44684</v>
      </c>
      <c r="B79" s="18">
        <f t="shared" ref="B79" si="69">WEEKNUM(A79)</f>
        <v>19</v>
      </c>
      <c r="C79" s="11">
        <v>1</v>
      </c>
      <c r="D79" s="12" t="s">
        <v>12</v>
      </c>
      <c r="E79" s="13" t="s">
        <v>16</v>
      </c>
      <c r="F79" s="13" t="s">
        <v>25</v>
      </c>
      <c r="I79" s="14"/>
    </row>
    <row r="80" spans="1:9" ht="30" x14ac:dyDescent="0.25">
      <c r="A80" s="6">
        <v>44684</v>
      </c>
      <c r="B80" s="18">
        <f t="shared" ref="B80" si="70">WEEKNUM(A80)</f>
        <v>19</v>
      </c>
      <c r="C80" s="11">
        <v>1.5</v>
      </c>
      <c r="D80" s="12" t="s">
        <v>12</v>
      </c>
      <c r="E80" s="13" t="s">
        <v>17</v>
      </c>
      <c r="F80" s="13" t="s">
        <v>24</v>
      </c>
      <c r="H80" s="25"/>
      <c r="I80" s="14"/>
    </row>
    <row r="81" spans="1:9" x14ac:dyDescent="0.25">
      <c r="A81" s="6">
        <v>44683</v>
      </c>
      <c r="B81" s="18">
        <f t="shared" ref="B81" si="71">WEEKNUM(A81)</f>
        <v>19</v>
      </c>
      <c r="C81" s="11">
        <v>1</v>
      </c>
      <c r="D81" s="12" t="s">
        <v>6</v>
      </c>
      <c r="E81" s="13" t="s">
        <v>16</v>
      </c>
      <c r="F81" s="13" t="s">
        <v>23</v>
      </c>
      <c r="H81" s="25"/>
      <c r="I81" s="14"/>
    </row>
    <row r="82" spans="1:9" x14ac:dyDescent="0.25">
      <c r="A82" s="6">
        <v>44683</v>
      </c>
      <c r="B82" s="18">
        <f t="shared" ref="B82" si="72">WEEKNUM(A82)</f>
        <v>19</v>
      </c>
      <c r="C82" s="11">
        <v>2.5</v>
      </c>
      <c r="D82" s="12" t="s">
        <v>12</v>
      </c>
      <c r="E82" s="13" t="s">
        <v>15</v>
      </c>
      <c r="F82" s="13" t="s">
        <v>22</v>
      </c>
      <c r="I82" s="14"/>
    </row>
    <row r="83" spans="1:9" x14ac:dyDescent="0.25">
      <c r="A83" s="6">
        <v>44683</v>
      </c>
      <c r="B83" s="18">
        <f t="shared" ref="B83" si="73">WEEKNUM(A83)</f>
        <v>19</v>
      </c>
      <c r="C83" s="11">
        <v>1</v>
      </c>
      <c r="D83" s="12" t="s">
        <v>12</v>
      </c>
      <c r="E83" s="13" t="s">
        <v>14</v>
      </c>
      <c r="F83" s="13" t="s">
        <v>21</v>
      </c>
      <c r="I83" s="14"/>
    </row>
    <row r="84" spans="1:9" x14ac:dyDescent="0.25">
      <c r="A84" s="26">
        <v>44683</v>
      </c>
      <c r="B84" s="27">
        <f t="shared" ref="B84" si="74">WEEKNUM(A84)</f>
        <v>19</v>
      </c>
      <c r="C84" s="28">
        <v>1.5</v>
      </c>
      <c r="D84" s="29" t="s">
        <v>91</v>
      </c>
      <c r="E84" s="30" t="s">
        <v>19</v>
      </c>
      <c r="F84" s="30" t="s">
        <v>20</v>
      </c>
      <c r="I84" s="14"/>
    </row>
    <row r="85" spans="1:9" x14ac:dyDescent="0.25">
      <c r="A85" s="20"/>
    </row>
  </sheetData>
  <sheetProtection selectLockedCells="1"/>
  <mergeCells count="7">
    <mergeCell ref="A1:F2"/>
    <mergeCell ref="A68:D68"/>
    <mergeCell ref="E68:F68"/>
    <mergeCell ref="A39:D39"/>
    <mergeCell ref="E39:F39"/>
    <mergeCell ref="A17:D17"/>
    <mergeCell ref="E17:F17"/>
  </mergeCells>
  <pageMargins left="0.23622047244094491" right="0.23622047244094491" top="0.74803149606299213" bottom="0.74803149606299213" header="0.31496062992125984" footer="0.31496062992125984"/>
  <pageSetup paperSize="153" scale="2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3238500</xdr:colOff>
                    <xdr:row>3</xdr:row>
                    <xdr:rowOff>57150</xdr:rowOff>
                  </from>
                  <to>
                    <xdr:col>5</xdr:col>
                    <xdr:colOff>4943475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Paramètres!$A$2:$A$10</xm:f>
          </x14:formula1>
          <xm:sqref>D69:D84 D40:D67 D7:D16 D18:D38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0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t="s">
        <v>91</v>
      </c>
    </row>
    <row r="4" spans="1:1" x14ac:dyDescent="0.25">
      <c r="A4" t="s">
        <v>84</v>
      </c>
    </row>
    <row r="5" spans="1:1" x14ac:dyDescent="0.25">
      <c r="A5" t="s">
        <v>83</v>
      </c>
    </row>
    <row r="6" spans="1:1" x14ac:dyDescent="0.25">
      <c r="A6" t="s">
        <v>75</v>
      </c>
    </row>
    <row r="7" spans="1:1" x14ac:dyDescent="0.25">
      <c r="A7" s="1" t="s">
        <v>10</v>
      </c>
    </row>
    <row r="8" spans="1:1" x14ac:dyDescent="0.25">
      <c r="A8" s="1" t="s">
        <v>11</v>
      </c>
    </row>
    <row r="9" spans="1:1" x14ac:dyDescent="0.25">
      <c r="A9" s="1" t="s">
        <v>12</v>
      </c>
    </row>
    <row r="10" spans="1:1" x14ac:dyDescent="0.25">
      <c r="A10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10</xdr:row>
                    <xdr:rowOff>28575</xdr:rowOff>
                  </from>
                  <to>
                    <xdr:col>0</xdr:col>
                    <xdr:colOff>990600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c00db93e-a012-41a1-8dae-1f2fb8b40d56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45CEF55-1403-4A29-B1D8-DBB8825B0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2022-05-24T14:59:05Z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